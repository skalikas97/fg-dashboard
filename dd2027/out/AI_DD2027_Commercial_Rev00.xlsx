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Default Extension="vml" ContentType="application/vnd.openxmlformats-officedocument.vmlDrawing"/>
  <Override PartName="/xl/drawings/drawing1.xml" ContentType="application/vnd.openxmlformats-officedocument.drawing+xml"/>
  <Override PartName="/xl/ctrlProps/ctrlProp1.xml" ContentType="application/vnd.ms-excel.contro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Costfile - Invoice discussion" sheetId="1" state="visible" r:id="rId1"/>
    <sheet xmlns:r="http://schemas.openxmlformats.org/officeDocument/2006/relationships" name="AXI cost breakdown" sheetId="2" state="visible" r:id="rId2"/>
    <sheet xmlns:r="http://schemas.openxmlformats.org/officeDocument/2006/relationships" name="Scaffolding" sheetId="3" state="visible" r:id="rId3"/>
    <sheet xmlns:r="http://schemas.openxmlformats.org/officeDocument/2006/relationships" name="3rd party Planner" sheetId="4" state="visible" r:id="rId4"/>
    <sheet xmlns:r="http://schemas.openxmlformats.org/officeDocument/2006/relationships" name="3rd parties" sheetId="5" state="visible" r:id="rId5"/>
    <sheet xmlns:r="http://schemas.openxmlformats.org/officeDocument/2006/relationships" name="SOW final" sheetId="6" state="visible" r:id="rId6"/>
    <sheet xmlns:r="http://schemas.openxmlformats.org/officeDocument/2006/relationships" name="SOW initial" sheetId="7" state="visible" r:id="rId7"/>
    <sheet xmlns:r="http://schemas.openxmlformats.org/officeDocument/2006/relationships" name="Budget file" sheetId="8" state="visible" r:id="rId8"/>
  </sheets>
  <definedNames>
    <definedName name="LastChange">'SOW initial'!$I$13</definedName>
    <definedName name="USD" localSheetId="0">'Costfile - Invoice discussion'!$B$4</definedName>
    <definedName name="EUR" localSheetId="0">'Costfile - Invoice discussion'!$B$5</definedName>
    <definedName name="_xlnm._FilterDatabase" localSheetId="0" hidden="1">'Costfile - Invoice discussion'!$R$8:$R$97</definedName>
    <definedName name="_xlnm.Print_Area" localSheetId="0">'Costfile - Invoice discussion'!$A$2:$R$129</definedName>
    <definedName name="_xlnm._FilterDatabase" localSheetId="1" hidden="1">'AXI cost breakdown'!$A$5:$L$5</definedName>
    <definedName name="prevWBS" localSheetId="3">'3rd party Planner'!$A1048576</definedName>
    <definedName name="_xlnm.Print_Titles" localSheetId="3">'3rd party Planner'!$4:$7</definedName>
    <definedName name="_xlnm.Print_Area" localSheetId="3">'3rd party Planner'!$A$1:$BN$37</definedName>
    <definedName name="_xlnm._FilterDatabase" localSheetId="5" hidden="1">'SOW final'!$B$15:$L$105</definedName>
    <definedName name="_xlnm.Print_Titles" localSheetId="5">'SOW final'!$15:$15</definedName>
    <definedName name="_xlnm._FilterDatabase" localSheetId="6" hidden="1">'SOW initial'!$B$15:$L$105</definedName>
    <definedName name="_xlnm.Print_Titles" localSheetId="6">'SOW initial'!$15:$15</definedName>
    <definedName name="USD" localSheetId="7">'Budget file'!$B$4</definedName>
    <definedName name="EUR" localSheetId="7">'Budget file'!$B$5</definedName>
    <definedName name="_xlnm.Print_Area" localSheetId="7">'Budget file'!$A$2:$O$126</definedName>
  </definedNames>
  <calcPr calcId="124519" fullCalcOnLoad="1"/>
</workbook>
</file>

<file path=xl/styles.xml><?xml version="1.0" encoding="utf-8"?>
<styleSheet xmlns="http://schemas.openxmlformats.org/spreadsheetml/2006/main">
  <numFmts count="21">
    <numFmt numFmtId="164" formatCode="dd/mm/yyyy"/>
    <numFmt numFmtId="165" formatCode="_-* #,##0_-;\-* #,##0_-;_-* &quot;-&quot;??_-;_-@_-"/>
    <numFmt numFmtId="166" formatCode="[$$-409]#,##0.00"/>
    <numFmt numFmtId="167" formatCode="_-[$$-409]* #,##0.00_ ;_-[$$-409]* \-#,##0.00\ ;_-[$$-409]* &quot;-&quot;??_ ;_-@_ "/>
    <numFmt numFmtId="168" formatCode="#,##0.000\ &quot;EUR&quot;"/>
    <numFmt numFmtId="169" formatCode="#,##0.000\ &quot;AED&quot;"/>
    <numFmt numFmtId="170" formatCode="#,##0.0000"/>
    <numFmt numFmtId="171" formatCode="[$€-2]\ #,##0.00"/>
    <numFmt numFmtId="172" formatCode="[$$-409]#,##0.0"/>
    <numFmt numFmtId="173" formatCode="_-[$€-2]\ * #,##0_-;\-[$€-2]\ * #,##0_-;_-[$€-2]\ * &quot;-&quot;??_-;_-@_-"/>
    <numFmt numFmtId="174" formatCode="0.0%"/>
    <numFmt numFmtId="175" formatCode="[$USD]\ #,##0"/>
    <numFmt numFmtId="176" formatCode="[$USD]\ #,##0.00"/>
    <numFmt numFmtId="177" formatCode="0000"/>
    <numFmt numFmtId="178" formatCode="000"/>
    <numFmt numFmtId="179" formatCode="_-[$EUR]\ * #,##0.00_-;\-[$EUR]\ * #,##0.00_-;_-[$EUR]\ * &quot;-&quot;_-;_-@_-"/>
    <numFmt numFmtId="180" formatCode="_-* #,##0.0_-;\-* #,##0.0_-;_-* &quot;-&quot;??_-;_-@_-"/>
    <numFmt numFmtId="181" formatCode="_-[$€-2]\ * #,##0.00_-;\-[$€-2]\ * #,##0.00_-;_-[$€-2]\ * &quot;-&quot;??_-;_-@_-"/>
    <numFmt numFmtId="182" formatCode="d\ mmm\ yyyy"/>
    <numFmt numFmtId="183" formatCode="d"/>
    <numFmt numFmtId="184" formatCode="ddd\ m/dd/yy"/>
  </numFmts>
  <fonts count="30">
    <font>
      <name val="Calibri"/>
      <family val="2"/>
      <color theme="1"/>
      <sz val="11"/>
      <scheme val="minor"/>
    </font>
    <font>
      <name val="Arial"/>
      <color rgb="FFF2F2F2"/>
      <sz val="28"/>
    </font>
    <font>
      <name val="Arial"/>
      <sz val="10"/>
    </font>
    <font>
      <name val="Arial"/>
      <sz val="14"/>
    </font>
    <font>
      <name val="Arial"/>
      <b val="1"/>
      <sz val="10"/>
    </font>
    <font>
      <name val="Arial"/>
      <sz val="28"/>
    </font>
    <font>
      <name val="Arial"/>
      <sz val="11"/>
    </font>
    <font>
      <name val="Arial"/>
      <sz val="13.5"/>
    </font>
    <font>
      <name val="Arial"/>
      <sz val="8"/>
    </font>
    <font>
      <name val="Arial"/>
      <color rgb="FFFFFFFF"/>
      <sz val="10"/>
    </font>
    <font>
      <name val="Arial"/>
      <b val="1"/>
      <color rgb="FFFFFFFF"/>
      <sz val="11"/>
    </font>
    <font>
      <name val="Arial"/>
      <b val="1"/>
      <sz val="11"/>
    </font>
    <font>
      <name val="Arial"/>
      <color rgb="FFFF0000"/>
      <sz val="10"/>
    </font>
    <font>
      <name val="Arial"/>
      <b val="1"/>
      <sz val="12"/>
    </font>
    <font>
      <name val="Arial"/>
      <i val="1"/>
      <color rgb="FFFF0000"/>
      <sz val="12"/>
    </font>
    <font>
      <name val="Arial"/>
      <sz val="12"/>
    </font>
    <font>
      <name val="Arial"/>
      <b val="1"/>
      <color rgb="FFB80000"/>
      <sz val="20"/>
    </font>
    <font>
      <name val="Arial"/>
      <color rgb="FF558ED5"/>
      <sz val="11"/>
    </font>
    <font>
      <name val="Arial"/>
      <color rgb="FF4F81BD"/>
      <sz val="11"/>
    </font>
    <font>
      <name val="Arial"/>
      <b val="1"/>
      <color rgb="FF558ED5"/>
      <sz val="11"/>
    </font>
    <font>
      <name val="Arial"/>
      <color rgb="FF558ED5"/>
      <sz val="10"/>
    </font>
    <font>
      <name val="Arial"/>
      <b val="1"/>
      <color rgb="FF4F81BD"/>
      <sz val="11"/>
    </font>
    <font>
      <name val="Arial"/>
      <b val="1"/>
      <color rgb="FFFF0000"/>
      <sz val="11"/>
    </font>
    <font>
      <name val="Arial"/>
      <b val="1"/>
      <sz val="18"/>
    </font>
    <font>
      <name val="Arial"/>
      <b val="1"/>
      <color rgb="FFC00000"/>
      <sz val="24"/>
    </font>
    <font>
      <name val="Arial"/>
      <color rgb="FF003366"/>
      <sz val="14"/>
    </font>
    <font>
      <name val="Arial"/>
      <i val="1"/>
      <sz val="8"/>
    </font>
    <font>
      <name val="Arial"/>
      <sz val="10"/>
      <u val="single"/>
    </font>
    <font>
      <name val="Arial"/>
      <b val="1"/>
      <sz val="9"/>
    </font>
    <font>
      <name val="Arial"/>
      <sz val="9"/>
    </font>
  </fonts>
  <fills count="19">
    <fill>
      <patternFill/>
    </fill>
    <fill>
      <patternFill patternType="gray125"/>
    </fill>
    <fill>
      <patternFill patternType="solid">
        <fgColor rgb="FFA80000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A6A6A6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D99694"/>
      </patternFill>
    </fill>
    <fill>
      <patternFill patternType="solid">
        <fgColor rgb="FF000000"/>
      </patternFill>
    </fill>
    <fill>
      <patternFill patternType="solid">
        <fgColor rgb="FFFFFF66"/>
      </patternFill>
    </fill>
    <fill>
      <patternFill patternType="solid">
        <fgColor rgb="FFB9CDE5"/>
      </patternFill>
    </fill>
    <fill>
      <patternFill patternType="solid">
        <fgColor rgb="FFD9D9D9"/>
      </patternFill>
    </fill>
    <fill>
      <patternFill patternType="solid">
        <fgColor rgb="FFCCFFFF"/>
      </patternFill>
    </fill>
    <fill>
      <patternFill patternType="solid">
        <fgColor rgb="FF0070C0"/>
      </patternFill>
    </fill>
    <fill>
      <patternFill patternType="solid">
        <fgColor rgb="FFB8D0ED"/>
      </patternFill>
    </fill>
  </fills>
  <borders count="114">
    <border>
      <left/>
      <right/>
      <top/>
      <bottom/>
      <diagonal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/>
      <top/>
      <bottom/>
    </border>
    <border>
      <left/>
      <right/>
      <top/>
      <bottom/>
    </border>
    <border>
      <left style="medium"/>
      <right/>
      <top/>
      <bottom style="medium"/>
    </border>
    <border>
      <left/>
      <right/>
      <top/>
      <bottom style="medium"/>
    </border>
    <border>
      <left style="medium"/>
      <right style="thin"/>
      <top style="medium"/>
      <bottom/>
    </border>
    <border>
      <left style="thin"/>
      <right style="thin"/>
      <top style="medium"/>
      <bottom/>
    </border>
    <border>
      <left style="thin"/>
      <right style="medium"/>
      <top style="medium"/>
      <bottom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 style="medium"/>
      <bottom style="medium"/>
    </border>
    <border>
      <left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medium"/>
      <bottom style="medium"/>
    </border>
    <border>
      <left/>
      <right style="medium"/>
      <top style="medium"/>
      <bottom style="medium"/>
    </border>
    <border>
      <left style="medium"/>
      <right style="thick"/>
      <top style="medium"/>
      <bottom style="medium"/>
    </border>
    <border>
      <left style="medium"/>
      <right/>
      <top/>
      <bottom style="dashed"/>
    </border>
    <border>
      <left/>
      <right/>
      <top/>
      <bottom style="dashed"/>
    </border>
    <border>
      <left/>
      <right style="medium"/>
      <top/>
      <bottom style="dashed"/>
    </border>
    <border>
      <left style="thin"/>
      <right style="thin"/>
      <top/>
      <bottom style="thin"/>
    </border>
    <border>
      <left style="medium"/>
      <right style="medium"/>
      <top style="dashed"/>
      <bottom style="dashed"/>
    </border>
    <border>
      <left style="thin"/>
      <right/>
      <top/>
      <bottom/>
    </border>
    <border>
      <left style="medium"/>
      <right style="thin"/>
      <top style="medium"/>
      <bottom style="dashed"/>
    </border>
    <border>
      <left style="thin"/>
      <right style="medium"/>
      <top style="medium"/>
      <bottom style="dashed"/>
    </border>
    <border>
      <left/>
      <right style="medium"/>
      <top style="medium"/>
      <bottom style="dashed"/>
    </border>
    <border>
      <left/>
      <right style="medium"/>
      <top/>
      <bottom style="medium"/>
    </border>
    <border>
      <left style="thin"/>
      <right/>
      <top style="medium"/>
      <bottom/>
    </border>
    <border>
      <left style="medium"/>
      <right style="medium"/>
      <top style="medium"/>
      <bottom style="thin"/>
    </border>
    <border>
      <left/>
      <right style="medium"/>
      <top style="medium"/>
      <bottom style="thin"/>
    </border>
    <border>
      <left style="medium"/>
      <right/>
      <top style="medium"/>
      <bottom style="thin"/>
    </border>
    <border>
      <left style="thin"/>
      <right style="thin"/>
      <top/>
      <bottom/>
    </border>
    <border>
      <left/>
      <right/>
      <top style="medium"/>
      <bottom style="medium"/>
    </border>
    <border>
      <left style="medium"/>
      <right style="thin"/>
      <top/>
      <bottom style="medium"/>
    </border>
    <border>
      <left style="thin"/>
      <right style="thin"/>
      <top/>
      <bottom style="medium"/>
    </border>
    <border>
      <left style="thin"/>
      <right/>
      <top/>
      <bottom style="medium"/>
    </border>
    <border>
      <left style="medium"/>
      <right style="thin"/>
      <top style="thin"/>
      <bottom style="medium"/>
    </border>
    <border>
      <left style="thin"/>
      <right style="medium"/>
      <top style="thin"/>
      <bottom style="medium"/>
    </border>
    <border>
      <left style="thin"/>
      <right/>
      <top style="thin"/>
      <bottom style="medium"/>
    </border>
    <border>
      <left style="medium"/>
      <right style="medium"/>
      <top/>
      <bottom style="medium"/>
    </border>
    <border>
      <left style="thin"/>
      <right style="medium"/>
      <top/>
      <bottom/>
    </border>
    <border>
      <left/>
      <right style="medium"/>
      <top/>
      <bottom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medium"/>
      <top style="thin"/>
      <bottom style="thin"/>
    </border>
    <border>
      <left style="medium"/>
      <right style="medium"/>
      <top/>
      <bottom/>
    </border>
    <border>
      <left style="medium"/>
      <right style="medium"/>
      <top style="thin"/>
      <bottom style="thin"/>
    </border>
    <border>
      <left style="medium"/>
      <right/>
      <top style="thin"/>
      <bottom style="thin"/>
    </border>
    <border>
      <left style="medium"/>
      <right/>
      <top style="thin"/>
      <bottom/>
    </border>
    <border>
      <left/>
      <right style="medium"/>
      <top style="thin"/>
      <bottom/>
    </border>
    <border>
      <left/>
      <right/>
      <top style="thin"/>
      <bottom/>
    </border>
    <border>
      <left style="medium"/>
      <right style="medium"/>
      <top style="thin"/>
      <bottom/>
    </border>
    <border>
      <left/>
      <right style="medium"/>
      <top style="medium"/>
      <bottom/>
    </border>
    <border>
      <left style="medium"/>
      <right style="medium"/>
      <top style="medium"/>
      <bottom/>
    </border>
    <border>
      <left style="medium"/>
      <right/>
      <top style="thin"/>
      <bottom style="medium"/>
    </border>
    <border>
      <left/>
      <right style="medium"/>
      <top style="thin"/>
      <bottom style="medium"/>
    </border>
    <border>
      <left/>
      <right/>
      <top style="thin"/>
      <bottom style="medium"/>
    </border>
    <border>
      <left style="medium"/>
      <right style="medium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 style="thin"/>
      <top style="thin"/>
      <bottom style="medium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/>
      <bottom style="thin"/>
    </border>
    <border>
      <left style="medium"/>
      <right style="thin"/>
      <top/>
      <bottom style="thin"/>
    </border>
    <border>
      <left style="thin"/>
      <right style="thin"/>
      <top style="thin"/>
      <bottom style="medium"/>
    </border>
    <border>
      <left/>
      <right/>
      <top/>
      <bottom style="thin"/>
    </border>
    <border>
      <left style="thin"/>
      <right/>
      <top style="thin"/>
      <bottom/>
    </border>
    <border>
      <left/>
      <right style="thin"/>
      <top style="thin"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 style="thin"/>
      <top/>
      <bottom style="thin"/>
    </border>
    <border>
      <left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dashed"/>
    </border>
    <border>
      <left style="thin"/>
      <right style="thin"/>
      <top style="dashed"/>
      <bottom style="dashed"/>
    </border>
    <border>
      <left style="thin"/>
      <right style="thin"/>
      <top style="thin"/>
      <bottom/>
    </border>
    <border>
      <left style="thin"/>
      <right style="dotted"/>
      <top style="thin"/>
      <bottom/>
    </border>
    <border>
      <left style="dotted"/>
      <right/>
      <top style="thin"/>
      <bottom/>
    </border>
    <border>
      <left style="thin"/>
      <right style="dotted"/>
      <top/>
      <bottom/>
    </border>
    <border>
      <left style="dotted"/>
      <right/>
      <top/>
      <bottom/>
    </border>
    <border>
      <left style="thin"/>
      <right style="thin"/>
      <top/>
      <bottom style="dashed"/>
    </border>
    <border>
      <left style="thin"/>
      <right/>
      <top/>
      <bottom/>
      <diagonal/>
    </border>
    <border>
      <left style="thin"/>
      <right style="dotted"/>
      <top/>
      <bottom/>
      <diagonal/>
    </border>
    <border>
      <left style="dotted"/>
      <right/>
      <top/>
      <bottom/>
      <diagonal/>
    </border>
    <border>
      <left/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/>
    </border>
    <border>
      <left/>
      <right style="thin">
        <color rgb="FFBFBFBF"/>
      </right>
      <top/>
      <bottom/>
    </border>
    <border>
      <left/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/>
    </border>
    <border>
      <left style="thin">
        <color rgb="FFBFBFBF"/>
      </left>
      <right style="medium">
        <color rgb="FFBFBFBF"/>
      </right>
      <top/>
      <bottom/>
    </border>
    <border>
      <left/>
      <right/>
      <top/>
      <bottom style="medium">
        <color rgb="FFA6A6A6"/>
      </bottom>
    </border>
    <border>
      <left style="medium">
        <color rgb="FFBFBFBF"/>
      </left>
      <right style="thin">
        <color rgb="FFBFBFBF"/>
      </right>
      <top/>
      <bottom style="medium">
        <color rgb="FFA6A6A6"/>
      </bottom>
    </border>
    <border>
      <left style="thin">
        <color rgb="FFBFBFBF"/>
      </left>
      <right style="thin">
        <color rgb="FFBFBFBF"/>
      </right>
      <top/>
      <bottom style="medium">
        <color rgb="FFA6A6A6"/>
      </bottom>
    </border>
    <border>
      <left style="thin">
        <color rgb="FFBFBFBF"/>
      </left>
      <right style="medium">
        <color rgb="FFBFBFBF"/>
      </right>
      <top/>
      <bottom style="medium">
        <color rgb="FFA6A6A6"/>
      </bottom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/>
      <top style="thin"/>
      <bottom style="thin"/>
    </border>
  </borders>
  <cellStyleXfs count="1">
    <xf numFmtId="0" fontId="0" fillId="0" borderId="0"/>
  </cellStyleXfs>
  <cellXfs count="398">
    <xf numFmtId="0" fontId="0" fillId="0" borderId="0" pivotButton="0" quotePrefix="0" xfId="0"/>
    <xf numFmtId="0" fontId="6" fillId="0" borderId="4" pivotButton="0" quotePrefix="0" xfId="0"/>
    <xf numFmtId="0" fontId="7" fillId="0" borderId="4" applyAlignment="1" pivotButton="0" quotePrefix="0" xfId="0">
      <alignment horizontal="left"/>
    </xf>
    <xf numFmtId="166" fontId="2" fillId="6" borderId="4" pivotButton="0" quotePrefix="0" xfId="0"/>
    <xf numFmtId="0" fontId="2" fillId="9" borderId="24" pivotButton="0" quotePrefix="0" xfId="0"/>
    <xf numFmtId="9" fontId="4" fillId="0" borderId="60" applyAlignment="1" pivotButton="0" quotePrefix="0" xfId="0">
      <alignment horizontal="center" vertical="center"/>
    </xf>
    <xf numFmtId="167" fontId="4" fillId="0" borderId="61" applyAlignment="1" pivotButton="0" quotePrefix="0" xfId="0">
      <alignment horizontal="center" vertical="center"/>
    </xf>
    <xf numFmtId="9" fontId="4" fillId="0" borderId="62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/>
    </xf>
    <xf numFmtId="168" fontId="2" fillId="0" borderId="4" applyAlignment="1" pivotButton="0" quotePrefix="0" xfId="0">
      <alignment horizontal="center"/>
    </xf>
    <xf numFmtId="0" fontId="9" fillId="10" borderId="4" applyAlignment="1" pivotButton="0" quotePrefix="0" xfId="0">
      <alignment horizontal="left"/>
    </xf>
    <xf numFmtId="166" fontId="2" fillId="4" borderId="4" pivotButton="0" quotePrefix="0" xfId="0"/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17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166" fontId="2" fillId="11" borderId="4" pivotButton="0" quotePrefix="0" xfId="0"/>
    <xf numFmtId="0" fontId="2" fillId="0" borderId="56" applyAlignment="1" pivotButton="0" quotePrefix="0" xfId="0">
      <alignment horizontal="center" vertical="center"/>
    </xf>
    <xf numFmtId="0" fontId="0" fillId="0" borderId="65" pivotButton="0" quotePrefix="0" xfId="0"/>
    <xf numFmtId="164" fontId="2" fillId="0" borderId="39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/>
    </xf>
    <xf numFmtId="166" fontId="2" fillId="3" borderId="4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2" fontId="10" fillId="12" borderId="30" applyAlignment="1" pivotButton="0" quotePrefix="0" xfId="0">
      <alignment horizontal="center"/>
    </xf>
    <xf numFmtId="0" fontId="2" fillId="0" borderId="31" pivotButton="0" quotePrefix="0" xfId="0"/>
    <xf numFmtId="2" fontId="10" fillId="12" borderId="32" applyAlignment="1" pivotButton="0" quotePrefix="0" xfId="0">
      <alignment horizontal="center"/>
    </xf>
    <xf numFmtId="166" fontId="10" fillId="12" borderId="32" applyAlignment="1" pivotButton="0" quotePrefix="0" xfId="0">
      <alignment horizontal="center"/>
    </xf>
    <xf numFmtId="2" fontId="10" fillId="12" borderId="4" applyAlignment="1" pivotButton="0" quotePrefix="0" xfId="0">
      <alignment horizontal="center"/>
    </xf>
    <xf numFmtId="2" fontId="10" fillId="9" borderId="33" applyAlignment="1" pivotButton="0" quotePrefix="0" xfId="0">
      <alignment horizontal="center"/>
    </xf>
    <xf numFmtId="2" fontId="11" fillId="4" borderId="34" applyAlignment="1" pivotButton="0" quotePrefix="0" xfId="0">
      <alignment horizontal="center"/>
    </xf>
    <xf numFmtId="2" fontId="11" fillId="13" borderId="16" applyAlignment="1" pivotButton="0" quotePrefix="0" xfId="0">
      <alignment horizontal="center"/>
    </xf>
    <xf numFmtId="2" fontId="11" fillId="11" borderId="13" applyAlignment="1" pivotButton="0" quotePrefix="0" xfId="0">
      <alignment horizontal="center"/>
    </xf>
    <xf numFmtId="2" fontId="11" fillId="14" borderId="16" applyAlignment="1" pivotButton="0" quotePrefix="0" xfId="0">
      <alignment horizontal="center"/>
    </xf>
    <xf numFmtId="2" fontId="10" fillId="12" borderId="16" applyAlignment="1" pivotButton="0" quotePrefix="0" xfId="0">
      <alignment horizontal="center"/>
    </xf>
    <xf numFmtId="0" fontId="2" fillId="0" borderId="35" pivotButton="0" quotePrefix="0" xfId="0"/>
    <xf numFmtId="0" fontId="2" fillId="0" borderId="36" applyAlignment="1" pivotButton="0" quotePrefix="0" xfId="0">
      <alignment horizontal="center"/>
    </xf>
    <xf numFmtId="0" fontId="2" fillId="0" borderId="37" applyAlignment="1" pivotButton="0" quotePrefix="0" xfId="0">
      <alignment horizontal="center"/>
    </xf>
    <xf numFmtId="166" fontId="2" fillId="0" borderId="38" applyAlignment="1" pivotButton="0" quotePrefix="0" xfId="0">
      <alignment horizontal="center"/>
    </xf>
    <xf numFmtId="166" fontId="2" fillId="0" borderId="39" applyAlignment="1" pivotButton="0" quotePrefix="0" xfId="0">
      <alignment horizontal="center"/>
    </xf>
    <xf numFmtId="166" fontId="2" fillId="0" borderId="40" applyAlignment="1" pivotButton="0" quotePrefix="0" xfId="0">
      <alignment horizontal="center"/>
    </xf>
    <xf numFmtId="166" fontId="2" fillId="0" borderId="24" applyAlignment="1" pivotButton="0" quotePrefix="0" xfId="0">
      <alignment horizontal="center"/>
    </xf>
    <xf numFmtId="166" fontId="2" fillId="9" borderId="33" applyAlignment="1" pivotButton="0" quotePrefix="0" xfId="0">
      <alignment horizontal="center"/>
    </xf>
    <xf numFmtId="0" fontId="2" fillId="4" borderId="6" pivotButton="0" quotePrefix="0" xfId="0"/>
    <xf numFmtId="0" fontId="2" fillId="13" borderId="28" pivotButton="0" quotePrefix="0" xfId="0"/>
    <xf numFmtId="0" fontId="2" fillId="11" borderId="6" pivotButton="0" quotePrefix="0" xfId="0"/>
    <xf numFmtId="0" fontId="2" fillId="14" borderId="28" pivotButton="0" quotePrefix="0" xfId="0"/>
    <xf numFmtId="0" fontId="2" fillId="0" borderId="41" pivotButton="0" quotePrefix="0" xfId="0"/>
    <xf numFmtId="0" fontId="2" fillId="0" borderId="33" applyAlignment="1" pivotButton="0" quotePrefix="0" xfId="0">
      <alignment horizontal="left"/>
    </xf>
    <xf numFmtId="0" fontId="2" fillId="0" borderId="4" pivotButton="0" quotePrefix="0" xfId="0"/>
    <xf numFmtId="0" fontId="2" fillId="0" borderId="33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166" fontId="2" fillId="0" borderId="3" applyAlignment="1" pivotButton="0" quotePrefix="0" xfId="0">
      <alignment horizontal="center"/>
    </xf>
    <xf numFmtId="166" fontId="2" fillId="0" borderId="42" applyAlignment="1" pivotButton="0" quotePrefix="0" xfId="0">
      <alignment horizontal="right"/>
    </xf>
    <xf numFmtId="167" fontId="2" fillId="0" borderId="24" applyAlignment="1" pivotButton="0" quotePrefix="0" xfId="0">
      <alignment horizontal="right"/>
    </xf>
    <xf numFmtId="9" fontId="2" fillId="9" borderId="24" applyAlignment="1" pivotButton="0" quotePrefix="0" xfId="0">
      <alignment horizontal="right"/>
    </xf>
    <xf numFmtId="166" fontId="2" fillId="0" borderId="33" applyAlignment="1" pivotButton="0" quotePrefix="0" xfId="0">
      <alignment horizontal="right"/>
    </xf>
    <xf numFmtId="166" fontId="2" fillId="4" borderId="4" applyAlignment="1" pivotButton="0" quotePrefix="0" xfId="0">
      <alignment horizontal="right"/>
    </xf>
    <xf numFmtId="166" fontId="2" fillId="13" borderId="43" applyAlignment="1" pivotButton="0" quotePrefix="0" xfId="0">
      <alignment horizontal="right"/>
    </xf>
    <xf numFmtId="166" fontId="2" fillId="11" borderId="4" applyAlignment="1" pivotButton="0" quotePrefix="0" xfId="0">
      <alignment horizontal="right"/>
    </xf>
    <xf numFmtId="166" fontId="2" fillId="14" borderId="43" applyAlignment="1" pivotButton="0" quotePrefix="0" xfId="0">
      <alignment horizontal="right"/>
    </xf>
    <xf numFmtId="0" fontId="12" fillId="0" borderId="4" pivotButton="0" quotePrefix="0" xfId="0"/>
    <xf numFmtId="0" fontId="9" fillId="12" borderId="11" pivotButton="0" quotePrefix="0" xfId="0"/>
    <xf numFmtId="0" fontId="2" fillId="8" borderId="4" pivotButton="0" quotePrefix="0" xfId="0"/>
    <xf numFmtId="166" fontId="2" fillId="8" borderId="3" applyAlignment="1" pivotButton="0" quotePrefix="0" xfId="0">
      <alignment horizontal="center"/>
    </xf>
    <xf numFmtId="166" fontId="2" fillId="8" borderId="12" applyAlignment="1" pivotButton="0" quotePrefix="0" xfId="0">
      <alignment horizontal="right"/>
    </xf>
    <xf numFmtId="166" fontId="2" fillId="8" borderId="12" applyAlignment="1" pivotButton="0" quotePrefix="0" xfId="0">
      <alignment horizontal="center"/>
    </xf>
    <xf numFmtId="167" fontId="2" fillId="8" borderId="44" applyAlignment="1" pivotButton="0" quotePrefix="0" xfId="0">
      <alignment horizontal="right"/>
    </xf>
    <xf numFmtId="166" fontId="2" fillId="9" borderId="33" applyAlignment="1" pivotButton="0" quotePrefix="0" xfId="0">
      <alignment horizontal="right"/>
    </xf>
    <xf numFmtId="166" fontId="2" fillId="8" borderId="45" applyAlignment="1" pivotButton="0" quotePrefix="0" xfId="0">
      <alignment horizontal="right"/>
    </xf>
    <xf numFmtId="166" fontId="2" fillId="8" borderId="46" applyAlignment="1" pivotButton="0" quotePrefix="0" xfId="0">
      <alignment horizontal="right"/>
    </xf>
    <xf numFmtId="171" fontId="2" fillId="0" borderId="3" applyAlignment="1" pivotButton="0" quotePrefix="0" xfId="0">
      <alignment horizontal="left"/>
    </xf>
    <xf numFmtId="171" fontId="2" fillId="0" borderId="43" applyAlignment="1" pivotButton="0" quotePrefix="0" xfId="0">
      <alignment horizontal="left"/>
    </xf>
    <xf numFmtId="171" fontId="2" fillId="0" borderId="43" applyAlignment="1" pivotButton="0" quotePrefix="0" xfId="0">
      <alignment horizontal="center"/>
    </xf>
    <xf numFmtId="166" fontId="2" fillId="0" borderId="4" applyAlignment="1" pivotButton="0" quotePrefix="0" xfId="0">
      <alignment horizontal="left"/>
    </xf>
    <xf numFmtId="171" fontId="2" fillId="0" borderId="4" applyAlignment="1" pivotButton="0" quotePrefix="0" xfId="0">
      <alignment horizontal="left"/>
    </xf>
    <xf numFmtId="171" fontId="2" fillId="9" borderId="33" applyAlignment="1" pivotButton="0" quotePrefix="0" xfId="0">
      <alignment horizontal="left"/>
    </xf>
    <xf numFmtId="171" fontId="2" fillId="4" borderId="4" applyAlignment="1" pivotButton="0" quotePrefix="0" xfId="0">
      <alignment horizontal="left"/>
    </xf>
    <xf numFmtId="171" fontId="2" fillId="13" borderId="43" applyAlignment="1" pivotButton="0" quotePrefix="0" xfId="0">
      <alignment horizontal="left"/>
    </xf>
    <xf numFmtId="171" fontId="2" fillId="11" borderId="4" applyAlignment="1" pivotButton="0" quotePrefix="0" xfId="0">
      <alignment horizontal="left"/>
    </xf>
    <xf numFmtId="171" fontId="2" fillId="14" borderId="4" applyAlignment="1" pivotButton="0" quotePrefix="0" xfId="0">
      <alignment horizontal="left"/>
    </xf>
    <xf numFmtId="171" fontId="2" fillId="0" borderId="47" applyAlignment="1" pivotButton="0" quotePrefix="0" xfId="0">
      <alignment horizontal="left"/>
    </xf>
    <xf numFmtId="166" fontId="2" fillId="0" borderId="4" pivotButton="0" quotePrefix="0" xfId="0"/>
    <xf numFmtId="166" fontId="2" fillId="0" borderId="43" applyAlignment="1" pivotButton="0" quotePrefix="0" xfId="0">
      <alignment horizontal="right"/>
    </xf>
    <xf numFmtId="166" fontId="2" fillId="0" borderId="43" applyAlignment="1" pivotButton="0" quotePrefix="0" xfId="0">
      <alignment horizontal="center"/>
    </xf>
    <xf numFmtId="166" fontId="2" fillId="0" borderId="4" applyAlignment="1" pivotButton="0" quotePrefix="0" xfId="0">
      <alignment horizontal="right"/>
    </xf>
    <xf numFmtId="166" fontId="2" fillId="14" borderId="4" applyAlignment="1" pivotButton="0" quotePrefix="0" xfId="0">
      <alignment horizontal="right"/>
    </xf>
    <xf numFmtId="166" fontId="2" fillId="0" borderId="47" applyAlignment="1" pivotButton="0" quotePrefix="0" xfId="0">
      <alignment horizontal="right"/>
    </xf>
    <xf numFmtId="166" fontId="2" fillId="0" borderId="12" applyAlignment="1" pivotButton="0" quotePrefix="0" xfId="0">
      <alignment horizontal="right"/>
    </xf>
    <xf numFmtId="166" fontId="2" fillId="0" borderId="12" applyAlignment="1" pivotButton="0" quotePrefix="0" xfId="0">
      <alignment horizontal="center"/>
    </xf>
    <xf numFmtId="172" fontId="2" fillId="0" borderId="44" applyAlignment="1" pivotButton="0" quotePrefix="0" xfId="0">
      <alignment horizontal="right"/>
    </xf>
    <xf numFmtId="166" fontId="2" fillId="0" borderId="24" applyAlignment="1" pivotButton="0" quotePrefix="0" xfId="0">
      <alignment horizontal="right"/>
    </xf>
    <xf numFmtId="172" fontId="2" fillId="4" borderId="45" applyAlignment="1" pivotButton="0" quotePrefix="0" xfId="0">
      <alignment horizontal="right"/>
    </xf>
    <xf numFmtId="166" fontId="2" fillId="13" borderId="46" applyAlignment="1" pivotButton="0" quotePrefix="0" xfId="0">
      <alignment horizontal="right"/>
    </xf>
    <xf numFmtId="166" fontId="2" fillId="11" borderId="45" applyAlignment="1" pivotButton="0" quotePrefix="0" xfId="0">
      <alignment horizontal="right"/>
    </xf>
    <xf numFmtId="166" fontId="2" fillId="14" borderId="45" applyAlignment="1" pivotButton="0" quotePrefix="0" xfId="0">
      <alignment horizontal="right"/>
    </xf>
    <xf numFmtId="166" fontId="2" fillId="0" borderId="48" applyAlignment="1" pivotButton="0" quotePrefix="0" xfId="0">
      <alignment horizontal="right"/>
    </xf>
    <xf numFmtId="173" fontId="2" fillId="0" borderId="4" applyAlignment="1" pivotButton="0" quotePrefix="0" xfId="0">
      <alignment horizontal="left"/>
    </xf>
    <xf numFmtId="0" fontId="4" fillId="0" borderId="4" applyAlignment="1" pivotButton="0" quotePrefix="0" xfId="0">
      <alignment horizontal="right"/>
    </xf>
    <xf numFmtId="171" fontId="2" fillId="0" borderId="49" applyAlignment="1" pivotButton="0" quotePrefix="0" xfId="0">
      <alignment horizontal="left"/>
    </xf>
    <xf numFmtId="0" fontId="2" fillId="0" borderId="46" applyAlignment="1" pivotButton="0" quotePrefix="0" xfId="0">
      <alignment horizontal="left"/>
    </xf>
    <xf numFmtId="0" fontId="2" fillId="0" borderId="46" applyAlignment="1" pivotButton="0" quotePrefix="0" xfId="0">
      <alignment horizontal="center"/>
    </xf>
    <xf numFmtId="166" fontId="2" fillId="0" borderId="45" applyAlignment="1" pivotButton="0" quotePrefix="0" xfId="0">
      <alignment horizontal="left"/>
    </xf>
    <xf numFmtId="0" fontId="2" fillId="9" borderId="33" applyAlignment="1" pivotButton="0" quotePrefix="0" xfId="0">
      <alignment horizontal="left"/>
    </xf>
    <xf numFmtId="166" fontId="2" fillId="0" borderId="48" applyAlignment="1" pivotButton="0" quotePrefix="0" xfId="0">
      <alignment horizontal="left"/>
    </xf>
    <xf numFmtId="173" fontId="2" fillId="0" borderId="4" pivotButton="0" quotePrefix="0" xfId="0"/>
    <xf numFmtId="10" fontId="2" fillId="0" borderId="3" applyAlignment="1" pivotButton="0" quotePrefix="0" xfId="0">
      <alignment horizontal="center"/>
    </xf>
    <xf numFmtId="9" fontId="2" fillId="0" borderId="12" applyAlignment="1" pivotButton="0" quotePrefix="0" xfId="0">
      <alignment horizontal="center"/>
    </xf>
    <xf numFmtId="166" fontId="2" fillId="0" borderId="44" applyAlignment="1" pivotButton="0" quotePrefix="0" xfId="0">
      <alignment horizontal="right"/>
    </xf>
    <xf numFmtId="174" fontId="2" fillId="0" borderId="4" pivotButton="0" quotePrefix="0" xfId="0"/>
    <xf numFmtId="9" fontId="2" fillId="0" borderId="4" pivotButton="0" quotePrefix="0" xfId="0"/>
    <xf numFmtId="171" fontId="2" fillId="0" borderId="50" applyAlignment="1" pivotButton="0" quotePrefix="0" xfId="0">
      <alignment horizontal="left"/>
    </xf>
    <xf numFmtId="0" fontId="2" fillId="0" borderId="51" applyAlignment="1" pivotButton="0" quotePrefix="0" xfId="0">
      <alignment horizontal="left"/>
    </xf>
    <xf numFmtId="0" fontId="2" fillId="0" borderId="51" applyAlignment="1" pivotButton="0" quotePrefix="0" xfId="0">
      <alignment horizontal="center"/>
    </xf>
    <xf numFmtId="166" fontId="2" fillId="0" borderId="52" applyAlignment="1" pivotButton="0" quotePrefix="0" xfId="0">
      <alignment horizontal="left"/>
    </xf>
    <xf numFmtId="166" fontId="2" fillId="9" borderId="33" applyAlignment="1" pivotButton="0" quotePrefix="0" xfId="0">
      <alignment horizontal="left"/>
    </xf>
    <xf numFmtId="166" fontId="2" fillId="0" borderId="53" applyAlignment="1" pivotButton="0" quotePrefix="0" xfId="0">
      <alignment horizontal="left"/>
    </xf>
    <xf numFmtId="0" fontId="4" fillId="3" borderId="1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166" fontId="4" fillId="3" borderId="1" applyAlignment="1" pivotButton="0" quotePrefix="0" xfId="0">
      <alignment horizontal="center"/>
    </xf>
    <xf numFmtId="166" fontId="4" fillId="3" borderId="54" applyAlignment="1" pivotButton="0" quotePrefix="0" xfId="0">
      <alignment horizontal="right"/>
    </xf>
    <xf numFmtId="166" fontId="4" fillId="3" borderId="54" applyAlignment="1" pivotButton="0" quotePrefix="0" xfId="0">
      <alignment horizontal="center"/>
    </xf>
    <xf numFmtId="166" fontId="4" fillId="3" borderId="2" applyAlignment="1" pivotButton="0" quotePrefix="0" xfId="0">
      <alignment horizontal="right"/>
    </xf>
    <xf numFmtId="166" fontId="4" fillId="3" borderId="4" applyAlignment="1" pivotButton="0" quotePrefix="0" xfId="0">
      <alignment horizontal="right"/>
    </xf>
    <xf numFmtId="166" fontId="4" fillId="9" borderId="33" applyAlignment="1" pivotButton="0" quotePrefix="0" xfId="0">
      <alignment horizontal="right"/>
    </xf>
    <xf numFmtId="166" fontId="4" fillId="3" borderId="55" applyAlignment="1" pivotButton="0" quotePrefix="0" xfId="0">
      <alignment horizontal="right"/>
    </xf>
    <xf numFmtId="173" fontId="4" fillId="0" borderId="4" applyAlignment="1" pivotButton="0" quotePrefix="0" xfId="0">
      <alignment horizontal="right"/>
    </xf>
    <xf numFmtId="0" fontId="4" fillId="3" borderId="5" pivotButton="0" quotePrefix="0" xfId="0"/>
    <xf numFmtId="0" fontId="4" fillId="3" borderId="6" applyAlignment="1" pivotButton="0" quotePrefix="0" xfId="0">
      <alignment horizontal="right"/>
    </xf>
    <xf numFmtId="171" fontId="4" fillId="3" borderId="56" applyAlignment="1" pivotButton="0" quotePrefix="0" xfId="0">
      <alignment horizontal="left"/>
    </xf>
    <xf numFmtId="0" fontId="4" fillId="3" borderId="57" applyAlignment="1" pivotButton="0" quotePrefix="0" xfId="0">
      <alignment horizontal="left"/>
    </xf>
    <xf numFmtId="166" fontId="4" fillId="3" borderId="58" applyAlignment="1" pivotButton="0" quotePrefix="0" xfId="0">
      <alignment horizontal="left"/>
    </xf>
    <xf numFmtId="0" fontId="4" fillId="3" borderId="4" applyAlignment="1" pivotButton="0" quotePrefix="0" xfId="0">
      <alignment horizontal="left"/>
    </xf>
    <xf numFmtId="0" fontId="4" fillId="9" borderId="33" applyAlignment="1" pivotButton="0" quotePrefix="0" xfId="0">
      <alignment horizontal="left"/>
    </xf>
    <xf numFmtId="0" fontId="9" fillId="12" borderId="4" pivotButton="0" quotePrefix="0" xfId="0"/>
    <xf numFmtId="0" fontId="2" fillId="0" borderId="22" applyAlignment="1" pivotButton="0" quotePrefix="0" xfId="0">
      <alignment horizontal="center"/>
    </xf>
    <xf numFmtId="166" fontId="4" fillId="3" borderId="59" applyAlignment="1" pivotButton="0" quotePrefix="0" xfId="0">
      <alignment horizontal="right"/>
    </xf>
    <xf numFmtId="3" fontId="13" fillId="9" borderId="13" pivotButton="0" quotePrefix="0" xfId="0"/>
    <xf numFmtId="3" fontId="4" fillId="0" borderId="34" pivotButton="0" quotePrefix="0" xfId="0"/>
    <xf numFmtId="3" fontId="13" fillId="0" borderId="34" pivotButton="0" quotePrefix="0" xfId="0"/>
    <xf numFmtId="0" fontId="4" fillId="0" borderId="17" pivotButton="0" quotePrefix="0" xfId="0"/>
    <xf numFmtId="3" fontId="14" fillId="9" borderId="3" pivotButton="0" quotePrefix="0" xfId="0"/>
    <xf numFmtId="3" fontId="15" fillId="0" borderId="4" pivotButton="0" quotePrefix="0" xfId="0"/>
    <xf numFmtId="175" fontId="15" fillId="0" borderId="4" pivotButton="0" quotePrefix="0" xfId="0"/>
    <xf numFmtId="176" fontId="13" fillId="0" borderId="43" pivotButton="0" quotePrefix="0" xfId="0"/>
    <xf numFmtId="176" fontId="13" fillId="0" borderId="4" pivotButton="0" quotePrefix="0" xfId="0"/>
    <xf numFmtId="166" fontId="2" fillId="0" borderId="4" applyAlignment="1" pivotButton="0" quotePrefix="0" xfId="0">
      <alignment horizontal="center"/>
    </xf>
    <xf numFmtId="171" fontId="2" fillId="0" borderId="4" applyAlignment="1" pivotButton="0" quotePrefix="0" xfId="0">
      <alignment horizontal="center"/>
    </xf>
    <xf numFmtId="171" fontId="2" fillId="0" borderId="4" pivotButton="0" quotePrefix="0" xfId="0"/>
    <xf numFmtId="3" fontId="14" fillId="9" borderId="5" pivotButton="0" quotePrefix="0" xfId="0"/>
    <xf numFmtId="3" fontId="15" fillId="0" borderId="6" pivotButton="0" quotePrefix="0" xfId="0"/>
    <xf numFmtId="175" fontId="15" fillId="0" borderId="6" pivotButton="0" quotePrefix="0" xfId="0"/>
    <xf numFmtId="176" fontId="13" fillId="0" borderId="28" pivotButton="0" quotePrefix="0" xfId="0"/>
    <xf numFmtId="3" fontId="2" fillId="0" borderId="4" pivotButton="0" quotePrefix="0" xfId="0"/>
    <xf numFmtId="3" fontId="13" fillId="0" borderId="4" pivotButton="0" quotePrefix="0" xfId="0"/>
    <xf numFmtId="175" fontId="13" fillId="0" borderId="4" pivotButton="0" quotePrefix="0" xfId="0"/>
    <xf numFmtId="0" fontId="16" fillId="8" borderId="13" applyAlignment="1" pivotButton="0" quotePrefix="0" xfId="0">
      <alignment horizontal="center" vertical="center"/>
    </xf>
    <xf numFmtId="0" fontId="0" fillId="0" borderId="77" pivotButton="0" quotePrefix="0" xfId="0"/>
    <xf numFmtId="0" fontId="4" fillId="0" borderId="60" applyAlignment="1" pivotButton="0" quotePrefix="0" xfId="0">
      <alignment horizontal="center" vertical="center"/>
    </xf>
    <xf numFmtId="14" fontId="4" fillId="0" borderId="61" applyAlignment="1" pivotButton="0" quotePrefix="0" xfId="0">
      <alignment horizontal="center" vertical="center"/>
    </xf>
    <xf numFmtId="14" fontId="4" fillId="0" borderId="62" applyAlignment="1" pivotButton="0" quotePrefix="0" xfId="0">
      <alignment horizontal="center" vertical="center"/>
    </xf>
    <xf numFmtId="0" fontId="0" fillId="0" borderId="78" pivotButton="0" quotePrefix="0" xfId="0"/>
    <xf numFmtId="14" fontId="2" fillId="0" borderId="11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0" pivotButton="0" quotePrefix="0" xfId="0"/>
    <xf numFmtId="0" fontId="11" fillId="15" borderId="66" applyAlignment="1" pivotButton="0" quotePrefix="0" xfId="0">
      <alignment horizontal="center" vertical="center" wrapText="1"/>
    </xf>
    <xf numFmtId="0" fontId="11" fillId="15" borderId="67" applyAlignment="1" pivotButton="0" quotePrefix="0" xfId="0">
      <alignment horizontal="center" vertical="center" wrapText="1"/>
    </xf>
    <xf numFmtId="1" fontId="11" fillId="15" borderId="67" applyAlignment="1" pivotButton="0" quotePrefix="0" xfId="0">
      <alignment horizontal="center" vertical="center" wrapText="1"/>
    </xf>
    <xf numFmtId="1" fontId="11" fillId="15" borderId="15" applyAlignment="1" pivotButton="0" quotePrefix="0" xfId="0">
      <alignment horizontal="center" vertical="center" wrapText="1"/>
    </xf>
    <xf numFmtId="177" fontId="6" fillId="0" borderId="60" applyAlignment="1" pivotButton="0" quotePrefix="0" xfId="0">
      <alignment horizontal="center"/>
    </xf>
    <xf numFmtId="177" fontId="6" fillId="0" borderId="61" applyAlignment="1" pivotButton="0" quotePrefix="0" xfId="0">
      <alignment horizontal="center"/>
    </xf>
    <xf numFmtId="178" fontId="6" fillId="0" borderId="61" applyAlignment="1" pivotButton="0" quotePrefix="0" xfId="0">
      <alignment horizontal="center"/>
    </xf>
    <xf numFmtId="0" fontId="6" fillId="0" borderId="11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1" fontId="6" fillId="0" borderId="11" applyAlignment="1" pivotButton="0" quotePrefix="0" xfId="0">
      <alignment horizontal="center" vertical="center"/>
    </xf>
    <xf numFmtId="3" fontId="17" fillId="0" borderId="22" applyAlignment="1" pivotButton="0" quotePrefix="0" xfId="0">
      <alignment horizontal="center" vertical="center"/>
    </xf>
    <xf numFmtId="1" fontId="18" fillId="0" borderId="22" applyAlignment="1" pivotButton="0" quotePrefix="0" xfId="0">
      <alignment horizontal="center" vertical="center"/>
    </xf>
    <xf numFmtId="10" fontId="18" fillId="0" borderId="22" applyAlignment="1" pivotButton="0" quotePrefix="0" xfId="0">
      <alignment horizontal="center" vertical="center"/>
    </xf>
    <xf numFmtId="1" fontId="19" fillId="0" borderId="68" applyAlignment="1" pivotButton="0" quotePrefix="0" xfId="0">
      <alignment horizontal="center" vertical="center"/>
    </xf>
    <xf numFmtId="177" fontId="6" fillId="0" borderId="69" applyAlignment="1" pivotButton="0" quotePrefix="0" xfId="0">
      <alignment horizontal="center"/>
    </xf>
    <xf numFmtId="177" fontId="6" fillId="0" borderId="22" applyAlignment="1" pivotButton="0" quotePrefix="0" xfId="0">
      <alignment horizontal="center"/>
    </xf>
    <xf numFmtId="178" fontId="6" fillId="0" borderId="22" applyAlignment="1" pivotButton="0" quotePrefix="0" xfId="0">
      <alignment horizontal="center"/>
    </xf>
    <xf numFmtId="0" fontId="6" fillId="0" borderId="22" applyAlignment="1" pivotButton="0" quotePrefix="0" xfId="0">
      <alignment horizontal="center" vertical="center"/>
    </xf>
    <xf numFmtId="1" fontId="18" fillId="0" borderId="11" applyAlignment="1" pivotButton="0" quotePrefix="0" xfId="0">
      <alignment horizontal="center" vertical="center"/>
    </xf>
    <xf numFmtId="177" fontId="6" fillId="0" borderId="10" applyAlignment="1" pivotButton="0" quotePrefix="0" xfId="0">
      <alignment horizontal="center"/>
    </xf>
    <xf numFmtId="177" fontId="6" fillId="0" borderId="11" applyAlignment="1" pivotButton="0" quotePrefix="0" xfId="0">
      <alignment horizontal="center"/>
    </xf>
    <xf numFmtId="178" fontId="6" fillId="0" borderId="11" applyAlignment="1" pivotButton="0" quotePrefix="0" xfId="0">
      <alignment horizontal="center"/>
    </xf>
    <xf numFmtId="0" fontId="17" fillId="0" borderId="11" applyAlignment="1" pivotButton="0" quotePrefix="0" xfId="0">
      <alignment horizontal="center" vertical="center"/>
    </xf>
    <xf numFmtId="10" fontId="18" fillId="0" borderId="11" applyAlignment="1" pivotButton="0" quotePrefix="0" xfId="0">
      <alignment horizontal="center" vertical="center"/>
    </xf>
    <xf numFmtId="1" fontId="19" fillId="0" borderId="1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/>
    </xf>
    <xf numFmtId="0" fontId="20" fillId="0" borderId="11" applyAlignment="1" pivotButton="0" quotePrefix="0" xfId="0">
      <alignment horizontal="center" vertical="center"/>
    </xf>
    <xf numFmtId="177" fontId="6" fillId="0" borderId="38" applyAlignment="1" pivotButton="0" quotePrefix="0" xfId="0">
      <alignment horizontal="center"/>
    </xf>
    <xf numFmtId="177" fontId="6" fillId="0" borderId="70" applyAlignment="1" pivotButton="0" quotePrefix="0" xfId="0">
      <alignment horizontal="center"/>
    </xf>
    <xf numFmtId="178" fontId="6" fillId="0" borderId="70" applyAlignment="1" pivotButton="0" quotePrefix="0" xfId="0">
      <alignment horizontal="center"/>
    </xf>
    <xf numFmtId="0" fontId="6" fillId="0" borderId="70" applyAlignment="1" pivotButton="0" quotePrefix="0" xfId="0">
      <alignment horizontal="center" vertical="center"/>
    </xf>
    <xf numFmtId="1" fontId="6" fillId="0" borderId="70" applyAlignment="1" pivotButton="0" quotePrefix="0" xfId="0">
      <alignment horizontal="center" vertical="center"/>
    </xf>
    <xf numFmtId="1" fontId="18" fillId="0" borderId="70" applyAlignment="1" pivotButton="0" quotePrefix="0" xfId="0">
      <alignment horizontal="center" vertical="center"/>
    </xf>
    <xf numFmtId="49" fontId="6" fillId="15" borderId="13" applyAlignment="1" pivotButton="0" quotePrefix="0" xfId="0">
      <alignment horizontal="center" vertical="center"/>
    </xf>
    <xf numFmtId="49" fontId="6" fillId="15" borderId="34" applyAlignment="1" pivotButton="0" quotePrefix="0" xfId="0">
      <alignment horizontal="center" vertical="center"/>
    </xf>
    <xf numFmtId="0" fontId="6" fillId="15" borderId="34" applyAlignment="1" pivotButton="0" quotePrefix="0" xfId="0">
      <alignment horizontal="center" vertical="center"/>
    </xf>
    <xf numFmtId="0" fontId="21" fillId="15" borderId="14" applyAlignment="1" pivotButton="0" quotePrefix="0" xfId="0">
      <alignment horizontal="center" vertical="center"/>
    </xf>
    <xf numFmtId="1" fontId="21" fillId="15" borderId="67" applyAlignment="1" pivotButton="0" quotePrefix="0" xfId="0">
      <alignment horizontal="center" vertical="center"/>
    </xf>
    <xf numFmtId="3" fontId="22" fillId="15" borderId="14" applyAlignment="1" pivotButton="0" quotePrefix="0" xfId="0">
      <alignment horizontal="center" vertical="center"/>
    </xf>
    <xf numFmtId="1" fontId="21" fillId="15" borderId="14" applyAlignment="1" pivotButton="0" quotePrefix="0" xfId="0">
      <alignment horizontal="center" vertical="center"/>
    </xf>
    <xf numFmtId="10" fontId="21" fillId="15" borderId="14" applyAlignment="1" pivotButton="0" quotePrefix="0" xfId="0">
      <alignment horizontal="center" vertical="center"/>
    </xf>
    <xf numFmtId="173" fontId="22" fillId="15" borderId="17" applyAlignment="1" pivotButton="0" quotePrefix="0" xfId="0">
      <alignment horizontal="center" vertical="center"/>
    </xf>
    <xf numFmtId="1" fontId="2" fillId="0" borderId="4" pivotButton="0" quotePrefix="0" xfId="0"/>
    <xf numFmtId="0" fontId="4" fillId="0" borderId="71" applyAlignment="1" pivotButton="0" quotePrefix="0" xfId="0">
      <alignment horizontal="center"/>
    </xf>
    <xf numFmtId="0" fontId="0" fillId="0" borderId="81" pivotButton="0" quotePrefix="0" xfId="0"/>
    <xf numFmtId="0" fontId="4" fillId="16" borderId="72" applyAlignment="1" pivotButton="0" quotePrefix="0" xfId="0">
      <alignment horizontal="center"/>
    </xf>
    <xf numFmtId="0" fontId="4" fillId="16" borderId="72" pivotButton="0" quotePrefix="0" xfId="0"/>
    <xf numFmtId="0" fontId="4" fillId="16" borderId="52" pivotButton="0" quotePrefix="0" xfId="0"/>
    <xf numFmtId="0" fontId="4" fillId="16" borderId="73" pivotButton="0" quotePrefix="0" xfId="0"/>
    <xf numFmtId="0" fontId="4" fillId="0" borderId="4" pivotButton="0" quotePrefix="0" xfId="0"/>
    <xf numFmtId="0" fontId="4" fillId="16" borderId="24" applyAlignment="1" pivotButton="0" quotePrefix="0" xfId="0">
      <alignment horizontal="center"/>
    </xf>
    <xf numFmtId="0" fontId="4" fillId="16" borderId="24" pivotButton="0" quotePrefix="0" xfId="0"/>
    <xf numFmtId="0" fontId="4" fillId="16" borderId="4" pivotButton="0" quotePrefix="0" xfId="0"/>
    <xf numFmtId="0" fontId="4" fillId="16" borderId="74" pivotButton="0" quotePrefix="0" xfId="0"/>
    <xf numFmtId="0" fontId="4" fillId="16" borderId="75" applyAlignment="1" pivotButton="0" quotePrefix="0" xfId="0">
      <alignment horizontal="center"/>
    </xf>
    <xf numFmtId="0" fontId="4" fillId="16" borderId="75" pivotButton="0" quotePrefix="0" xfId="0"/>
    <xf numFmtId="0" fontId="4" fillId="16" borderId="71" pivotButton="0" quotePrefix="0" xfId="0"/>
    <xf numFmtId="0" fontId="4" fillId="16" borderId="76" pivotButton="0" quotePrefix="0" xfId="0"/>
    <xf numFmtId="0" fontId="4" fillId="16" borderId="72" applyAlignment="1" pivotButton="0" quotePrefix="0" xfId="0">
      <alignment horizontal="left"/>
    </xf>
    <xf numFmtId="0" fontId="4" fillId="16" borderId="52" applyAlignment="1" pivotButton="0" quotePrefix="0" xfId="0">
      <alignment horizontal="left"/>
    </xf>
    <xf numFmtId="0" fontId="4" fillId="16" borderId="73" applyAlignment="1" pivotButton="0" quotePrefix="0" xfId="0">
      <alignment horizontal="left"/>
    </xf>
    <xf numFmtId="0" fontId="4" fillId="16" borderId="24" applyAlignment="1" pivotButton="0" quotePrefix="0" xfId="0">
      <alignment horizontal="left" indent="3"/>
    </xf>
    <xf numFmtId="0" fontId="4" fillId="16" borderId="24" applyAlignment="1" pivotButton="0" quotePrefix="0" xfId="0">
      <alignment horizontal="left"/>
    </xf>
    <xf numFmtId="0" fontId="4" fillId="16" borderId="4" applyAlignment="1" pivotButton="0" quotePrefix="0" xfId="0">
      <alignment horizontal="left"/>
    </xf>
    <xf numFmtId="0" fontId="4" fillId="16" borderId="74" applyAlignment="1" pivotButton="0" quotePrefix="0" xfId="0">
      <alignment horizontal="left"/>
    </xf>
    <xf numFmtId="0" fontId="4" fillId="16" borderId="75" applyAlignment="1" pivotButton="0" quotePrefix="0" xfId="0">
      <alignment horizontal="left" indent="3"/>
    </xf>
    <xf numFmtId="0" fontId="4" fillId="16" borderId="75" applyAlignment="1" pivotButton="0" quotePrefix="0" xfId="0">
      <alignment horizontal="left"/>
    </xf>
    <xf numFmtId="0" fontId="4" fillId="16" borderId="71" applyAlignment="1" pivotButton="0" quotePrefix="0" xfId="0">
      <alignment horizontal="left"/>
    </xf>
    <xf numFmtId="0" fontId="4" fillId="16" borderId="76" applyAlignment="1" pivotButton="0" quotePrefix="0" xfId="0">
      <alignment horizontal="left"/>
    </xf>
    <xf numFmtId="0" fontId="2" fillId="0" borderId="0" applyAlignment="1" pivotButton="0" quotePrefix="0" xfId="0">
      <alignment horizontal="right" vertical="center"/>
    </xf>
    <xf numFmtId="164" fontId="2" fillId="0" borderId="71" applyAlignment="1" pivotButton="0" quotePrefix="0" xfId="0">
      <alignment horizontal="center" vertical="center"/>
    </xf>
    <xf numFmtId="167" fontId="2" fillId="0" borderId="4" pivotButton="0" quotePrefix="0" xfId="0"/>
    <xf numFmtId="0" fontId="2" fillId="4" borderId="4" pivotButton="0" quotePrefix="0" xfId="0"/>
    <xf numFmtId="167" fontId="2" fillId="5" borderId="4" pivotButton="0" quotePrefix="0" xfId="0"/>
    <xf numFmtId="167" fontId="2" fillId="4" borderId="4" pivotButton="0" quotePrefix="0" xfId="0"/>
    <xf numFmtId="167" fontId="4" fillId="4" borderId="4" pivotButton="0" quotePrefix="0" xfId="0"/>
    <xf numFmtId="0" fontId="2" fillId="5" borderId="4" pivotButton="0" quotePrefix="0" xfId="0"/>
    <xf numFmtId="167" fontId="4" fillId="5" borderId="4" pivotButton="0" quotePrefix="0" xfId="0"/>
    <xf numFmtId="0" fontId="2" fillId="6" borderId="4" pivotButton="0" quotePrefix="0" xfId="0"/>
    <xf numFmtId="167" fontId="4" fillId="6" borderId="4" pivotButton="0" quotePrefix="0" xfId="0"/>
    <xf numFmtId="0" fontId="24" fillId="7" borderId="16" applyAlignment="1" pivotButton="0" quotePrefix="0" xfId="0">
      <alignment horizontal="left" vertical="center" indent="19"/>
    </xf>
    <xf numFmtId="0" fontId="5" fillId="7" borderId="34" applyAlignment="1" pivotButton="0" quotePrefix="0" xfId="0">
      <alignment vertical="center"/>
    </xf>
    <xf numFmtId="0" fontId="25" fillId="7" borderId="34" applyAlignment="1" pivotButton="0" quotePrefix="0" xfId="0">
      <alignment vertical="center"/>
    </xf>
    <xf numFmtId="0" fontId="2" fillId="7" borderId="34" pivotButton="0" quotePrefix="0" xfId="0"/>
    <xf numFmtId="0" fontId="2" fillId="7" borderId="34" applyAlignment="1" pivotButton="0" quotePrefix="0" xfId="0">
      <alignment horizontal="right" vertical="center"/>
    </xf>
    <xf numFmtId="0" fontId="2" fillId="7" borderId="17" applyAlignment="1" pivotButton="0" quotePrefix="0" xfId="0">
      <alignment horizontal="right" vertical="center"/>
    </xf>
    <xf numFmtId="0" fontId="2" fillId="0" borderId="4" applyAlignment="1" pivotButton="0" quotePrefix="0" xfId="0">
      <alignment horizontal="right" vertical="center"/>
    </xf>
    <xf numFmtId="0" fontId="26" fillId="0" borderId="4" applyAlignment="1" pivotButton="0" quotePrefix="0" xfId="0">
      <alignment horizontal="left" vertical="center"/>
    </xf>
    <xf numFmtId="0" fontId="9" fillId="17" borderId="4" applyAlignment="1" pivotButton="0" quotePrefix="0" xfId="0">
      <alignment vertical="center"/>
    </xf>
    <xf numFmtId="0" fontId="2" fillId="9" borderId="4" pivotButton="0" quotePrefix="0" xfId="0"/>
    <xf numFmtId="0" fontId="9" fillId="5" borderId="4" pivotButton="0" quotePrefix="0" xfId="0"/>
    <xf numFmtId="14" fontId="2" fillId="0" borderId="4" pivotButton="0" quotePrefix="0" xfId="0"/>
    <xf numFmtId="0" fontId="27" fillId="0" borderId="4" applyAlignment="1" pivotButton="0" quotePrefix="0" xfId="0">
      <alignment horizontal="left"/>
    </xf>
    <xf numFmtId="0" fontId="9" fillId="4" borderId="4" pivotButton="0" quotePrefix="0" xfId="0"/>
    <xf numFmtId="164" fontId="2" fillId="0" borderId="99" applyAlignment="1" pivotButton="0" quotePrefix="0" xfId="0">
      <alignment horizontal="center" vertical="center"/>
    </xf>
    <xf numFmtId="0" fontId="0" fillId="0" borderId="109" pivotButton="0" quotePrefix="0" xfId="0"/>
    <xf numFmtId="0" fontId="2" fillId="0" borderId="99" applyAlignment="1" pivotButton="0" quotePrefix="0" xfId="0">
      <alignment horizontal="center" vertical="center"/>
    </xf>
    <xf numFmtId="0" fontId="6" fillId="0" borderId="100" applyAlignment="1" pivotButton="0" quotePrefix="0" xfId="0">
      <alignment horizontal="center" vertical="center"/>
    </xf>
    <xf numFmtId="0" fontId="0" fillId="0" borderId="112" pivotButton="0" quotePrefix="0" xfId="0"/>
    <xf numFmtId="0" fontId="9" fillId="6" borderId="4" pivotButton="0" quotePrefix="0" xfId="0"/>
    <xf numFmtId="164" fontId="2" fillId="0" borderId="102" applyAlignment="1" pivotButton="0" quotePrefix="0" xfId="0">
      <alignment horizontal="center" vertical="center"/>
    </xf>
    <xf numFmtId="0" fontId="0" fillId="0" borderId="111" pivotButton="0" quotePrefix="0" xfId="0"/>
    <xf numFmtId="182" fontId="2" fillId="0" borderId="100" applyAlignment="1" pivotButton="0" quotePrefix="0" xfId="0">
      <alignment horizontal="center" vertical="center"/>
    </xf>
    <xf numFmtId="183" fontId="8" fillId="0" borderId="100" applyAlignment="1" pivotButton="0" quotePrefix="0" xfId="0">
      <alignment horizontal="center" vertical="center"/>
    </xf>
    <xf numFmtId="183" fontId="8" fillId="0" borderId="103" applyAlignment="1" pivotButton="0" quotePrefix="0" xfId="0">
      <alignment horizontal="center" vertical="center"/>
    </xf>
    <xf numFmtId="183" fontId="8" fillId="0" borderId="104" applyAlignment="1" pivotButton="0" quotePrefix="0" xfId="0">
      <alignment horizontal="center" vertical="center"/>
    </xf>
    <xf numFmtId="0" fontId="28" fillId="0" borderId="105" applyAlignment="1" pivotButton="0" quotePrefix="0" xfId="0">
      <alignment horizontal="left" vertical="center"/>
    </xf>
    <xf numFmtId="0" fontId="28" fillId="0" borderId="105" applyAlignment="1" pivotButton="0" quotePrefix="0" xfId="0">
      <alignment horizontal="center" vertical="center"/>
    </xf>
    <xf numFmtId="0" fontId="28" fillId="0" borderId="105" applyAlignment="1" pivotButton="0" quotePrefix="0" xfId="0">
      <alignment horizontal="center" vertical="center" wrapText="1"/>
    </xf>
    <xf numFmtId="0" fontId="29" fillId="0" borderId="106" applyAlignment="1" pivotButton="0" quotePrefix="0" xfId="0">
      <alignment horizontal="center" vertical="center"/>
    </xf>
    <xf numFmtId="0" fontId="29" fillId="0" borderId="107" applyAlignment="1" pivotButton="0" quotePrefix="0" xfId="0">
      <alignment horizontal="center" vertical="center"/>
    </xf>
    <xf numFmtId="0" fontId="29" fillId="0" borderId="108" applyAlignment="1" pivotButton="0" quotePrefix="0" xfId="0">
      <alignment horizontal="center" vertical="center"/>
    </xf>
    <xf numFmtId="0" fontId="11" fillId="7" borderId="4" applyAlignment="1" pivotButton="0" quotePrefix="0" xfId="0">
      <alignment horizontal="left" vertical="center"/>
    </xf>
    <xf numFmtId="0" fontId="11" fillId="7" borderId="4" applyAlignment="1" pivotButton="0" quotePrefix="0" xfId="0">
      <alignment vertical="center"/>
    </xf>
    <xf numFmtId="0" fontId="29" fillId="7" borderId="4" applyAlignment="1" pivotButton="0" quotePrefix="0" xfId="0">
      <alignment vertical="center"/>
    </xf>
    <xf numFmtId="184" fontId="29" fillId="7" borderId="4" applyAlignment="1" pivotButton="0" quotePrefix="0" xfId="0">
      <alignment horizontal="right" vertical="center"/>
    </xf>
    <xf numFmtId="184" fontId="29" fillId="7" borderId="4" applyAlignment="1" pivotButton="0" quotePrefix="0" xfId="0">
      <alignment horizontal="center" vertical="center"/>
    </xf>
    <xf numFmtId="9" fontId="29" fillId="7" borderId="4" applyAlignment="1" pivotButton="0" quotePrefix="0" xfId="0">
      <alignment horizontal="center" vertical="center"/>
    </xf>
    <xf numFmtId="1" fontId="29" fillId="7" borderId="4" applyAlignment="1" pivotButton="0" quotePrefix="0" xfId="0">
      <alignment horizontal="center" vertical="center"/>
    </xf>
    <xf numFmtId="1" fontId="3" fillId="7" borderId="4" applyAlignment="1" pivotButton="0" quotePrefix="0" xfId="0">
      <alignment horizontal="center" vertical="center"/>
    </xf>
    <xf numFmtId="0" fontId="29" fillId="7" borderId="4" applyAlignment="1" pivotButton="0" quotePrefix="0" xfId="0">
      <alignment horizontal="left" vertical="center"/>
    </xf>
    <xf numFmtId="0" fontId="29" fillId="0" borderId="45" applyAlignment="1" pivotButton="0" quotePrefix="0" xfId="0">
      <alignment horizontal="left" vertical="center"/>
    </xf>
    <xf numFmtId="14" fontId="29" fillId="18" borderId="45" applyAlignment="1" pivotButton="0" quotePrefix="0" xfId="0">
      <alignment horizontal="left" vertical="center"/>
    </xf>
    <xf numFmtId="0" fontId="29" fillId="0" borderId="45" applyAlignment="1" pivotButton="0" quotePrefix="0" xfId="0">
      <alignment horizontal="center" vertical="center"/>
    </xf>
    <xf numFmtId="164" fontId="29" fillId="18" borderId="45" applyAlignment="1" pivotButton="0" quotePrefix="0" xfId="0">
      <alignment horizontal="center" vertical="center"/>
    </xf>
    <xf numFmtId="164" fontId="29" fillId="0" borderId="45" applyAlignment="1" pivotButton="0" quotePrefix="0" xfId="0">
      <alignment horizontal="center" vertical="center"/>
    </xf>
    <xf numFmtId="9" fontId="29" fillId="18" borderId="45" applyAlignment="1" pivotButton="0" quotePrefix="0" xfId="0">
      <alignment horizontal="center" vertical="center"/>
    </xf>
    <xf numFmtId="1" fontId="29" fillId="0" borderId="45" applyAlignment="1" pivotButton="0" quotePrefix="0" xfId="0">
      <alignment horizontal="center" vertical="center"/>
    </xf>
    <xf numFmtId="14" fontId="29" fillId="0" borderId="113" applyAlignment="1" pivotButton="0" quotePrefix="0" xfId="0">
      <alignment horizontal="center" vertical="center"/>
    </xf>
    <xf numFmtId="1" fontId="3" fillId="0" borderId="45" applyAlignment="1" pivotButton="0" quotePrefix="0" xfId="0">
      <alignment horizontal="center" vertical="center"/>
    </xf>
    <xf numFmtId="0" fontId="23" fillId="3" borderId="16" applyAlignment="1" pivotButton="0" quotePrefix="0" xfId="0">
      <alignment horizontal="center" vertical="center"/>
    </xf>
    <xf numFmtId="0" fontId="0" fillId="0" borderId="86" pivotButton="0" quotePrefix="0" xfId="0"/>
    <xf numFmtId="0" fontId="0" fillId="0" borderId="87" pivotButton="0" quotePrefix="0" xfId="0"/>
    <xf numFmtId="0" fontId="4" fillId="0" borderId="61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11" fillId="8" borderId="75" pivotButton="0" quotePrefix="0" xfId="0"/>
    <xf numFmtId="0" fontId="11" fillId="8" borderId="71" pivotButton="0" quotePrefix="0" xfId="0"/>
    <xf numFmtId="179" fontId="11" fillId="8" borderId="71" pivotButton="0" quotePrefix="0" xfId="0"/>
    <xf numFmtId="0" fontId="11" fillId="8" borderId="76" pivotButton="0" quotePrefix="0" xfId="0"/>
    <xf numFmtId="0" fontId="4" fillId="8" borderId="11" pivotButton="0" quotePrefix="0" xfId="0"/>
    <xf numFmtId="179" fontId="4" fillId="8" borderId="11" pivotButton="0" quotePrefix="0" xfId="0"/>
    <xf numFmtId="0" fontId="6" fillId="0" borderId="88" applyAlignment="1" pivotButton="0" quotePrefix="0" xfId="0">
      <alignment horizontal="right"/>
    </xf>
    <xf numFmtId="0" fontId="6" fillId="0" borderId="89" pivotButton="0" quotePrefix="0" xfId="0"/>
    <xf numFmtId="180" fontId="6" fillId="0" borderId="88" applyAlignment="1" pivotButton="0" quotePrefix="0" xfId="0">
      <alignment horizontal="right" vertical="center"/>
    </xf>
    <xf numFmtId="165" fontId="6" fillId="0" borderId="89" applyAlignment="1" pivotButton="0" quotePrefix="0" xfId="0">
      <alignment horizontal="left"/>
    </xf>
    <xf numFmtId="181" fontId="6" fillId="0" borderId="89" applyAlignment="1" pivotButton="0" quotePrefix="0" xfId="0">
      <alignment horizontal="right" vertical="center"/>
    </xf>
    <xf numFmtId="181" fontId="6" fillId="0" borderId="88" applyAlignment="1" pivotButton="0" quotePrefix="0" xfId="0">
      <alignment horizontal="left"/>
    </xf>
    <xf numFmtId="0" fontId="6" fillId="0" borderId="89" applyAlignment="1" pivotButton="0" quotePrefix="0" xfId="0">
      <alignment horizontal="left"/>
    </xf>
    <xf numFmtId="0" fontId="6" fillId="0" borderId="90" pivotButton="0" quotePrefix="0" xfId="0"/>
    <xf numFmtId="0" fontId="2" fillId="0" borderId="89" applyAlignment="1" pivotButton="0" quotePrefix="0" xfId="0">
      <alignment horizontal="left" wrapText="1"/>
    </xf>
    <xf numFmtId="14" fontId="6" fillId="0" borderId="91" applyAlignment="1" pivotButton="0" quotePrefix="0" xfId="0">
      <alignment horizontal="center" vertical="center"/>
    </xf>
    <xf numFmtId="14" fontId="6" fillId="0" borderId="92" applyAlignment="1" pivotButton="0" quotePrefix="0" xfId="0">
      <alignment horizontal="center" vertical="center"/>
    </xf>
    <xf numFmtId="165" fontId="6" fillId="0" borderId="11" applyAlignment="1" pivotButton="0" quotePrefix="0" xfId="0">
      <alignment horizontal="right" vertical="center"/>
    </xf>
    <xf numFmtId="0" fontId="6" fillId="0" borderId="33" pivotButton="0" quotePrefix="0" xfId="0"/>
    <xf numFmtId="0" fontId="2" fillId="0" borderId="89" applyAlignment="1" pivotButton="0" quotePrefix="0" xfId="0">
      <alignment horizontal="left"/>
    </xf>
    <xf numFmtId="0" fontId="0" fillId="0" borderId="97" pivotButton="0" quotePrefix="0" xfId="0"/>
    <xf numFmtId="0" fontId="0" fillId="0" borderId="98" pivotButton="0" quotePrefix="0" xfId="0"/>
    <xf numFmtId="0" fontId="6" fillId="0" borderId="95" applyAlignment="1" pivotButton="0" quotePrefix="0" xfId="0">
      <alignment horizontal="right"/>
    </xf>
    <xf numFmtId="181" fontId="6" fillId="0" borderId="95" applyAlignment="1" pivotButton="0" quotePrefix="0" xfId="0">
      <alignment horizontal="left"/>
    </xf>
    <xf numFmtId="165" fontId="6" fillId="0" borderId="88" applyAlignment="1" pivotButton="0" quotePrefix="0" xfId="0">
      <alignment horizontal="right" vertical="center"/>
    </xf>
    <xf numFmtId="0" fontId="6" fillId="0" borderId="72" pivotButton="0" quotePrefix="0" xfId="0"/>
    <xf numFmtId="0" fontId="6" fillId="0" borderId="52" pivotButton="0" quotePrefix="0" xfId="0"/>
    <xf numFmtId="179" fontId="6" fillId="0" borderId="52" pivotButton="0" quotePrefix="0" xfId="0"/>
    <xf numFmtId="1" fontId="6" fillId="0" borderId="52" pivotButton="0" quotePrefix="0" xfId="0"/>
    <xf numFmtId="0" fontId="6" fillId="0" borderId="73" pivotButton="0" quotePrefix="0" xfId="0"/>
    <xf numFmtId="0" fontId="6" fillId="0" borderId="24" pivotButton="0" quotePrefix="0" xfId="0"/>
    <xf numFmtId="0" fontId="6" fillId="0" borderId="11" pivotButton="0" quotePrefix="0" xfId="0"/>
    <xf numFmtId="179" fontId="6" fillId="0" borderId="4" pivotButton="0" quotePrefix="0" xfId="0"/>
    <xf numFmtId="181" fontId="4" fillId="0" borderId="11" applyAlignment="1" pivotButton="0" quotePrefix="0" xfId="0">
      <alignment horizontal="left"/>
    </xf>
    <xf numFmtId="0" fontId="6" fillId="0" borderId="74" pivotButton="0" quotePrefix="0" xfId="0"/>
    <xf numFmtId="0" fontId="6" fillId="0" borderId="75" pivotButton="0" quotePrefix="0" xfId="0"/>
    <xf numFmtId="0" fontId="6" fillId="0" borderId="71" pivotButton="0" quotePrefix="0" xfId="0"/>
    <xf numFmtId="179" fontId="6" fillId="0" borderId="71" pivotButton="0" quotePrefix="0" xfId="0"/>
    <xf numFmtId="1" fontId="6" fillId="0" borderId="71" pivotButton="0" quotePrefix="0" xfId="0"/>
    <xf numFmtId="0" fontId="6" fillId="0" borderId="76" pivotButton="0" quotePrefix="0" xfId="0"/>
    <xf numFmtId="0" fontId="5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7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4" fontId="2" fillId="0" borderId="15" applyAlignment="1" pivotButton="0" quotePrefix="0" xfId="0">
      <alignment horizontal="center" vertical="center"/>
    </xf>
    <xf numFmtId="0" fontId="3" fillId="7" borderId="16" applyAlignment="1" pivotButton="0" quotePrefix="0" xfId="0">
      <alignment horizontal="center" vertical="center" wrapText="1"/>
    </xf>
    <xf numFmtId="0" fontId="3" fillId="7" borderId="17" applyAlignment="1" pivotButton="0" quotePrefix="0" xfId="0">
      <alignment horizontal="center" vertical="center"/>
    </xf>
    <xf numFmtId="1" fontId="3" fillId="7" borderId="16" applyAlignment="1" pivotButton="0" quotePrefix="0" xfId="0">
      <alignment horizontal="center" vertical="center" wrapText="1"/>
    </xf>
    <xf numFmtId="0" fontId="3" fillId="7" borderId="16" applyAlignment="1" pivotButton="0" quotePrefix="0" xfId="0">
      <alignment horizontal="center" vertical="center"/>
    </xf>
    <xf numFmtId="0" fontId="3" fillId="7" borderId="18" applyAlignment="1" pivotButton="0" quotePrefix="0" xfId="0">
      <alignment horizontal="center" vertical="center" wrapText="1"/>
    </xf>
    <xf numFmtId="0" fontId="4" fillId="8" borderId="19" applyAlignment="1" pivotButton="0" quotePrefix="0" xfId="0">
      <alignment horizontal="left"/>
    </xf>
    <xf numFmtId="0" fontId="4" fillId="8" borderId="20" applyAlignment="1" pivotButton="0" quotePrefix="0" xfId="0">
      <alignment horizontal="left"/>
    </xf>
    <xf numFmtId="1" fontId="4" fillId="8" borderId="20" applyAlignment="1" pivotButton="0" quotePrefix="0" xfId="0">
      <alignment horizontal="center" vertical="center"/>
    </xf>
    <xf numFmtId="0" fontId="4" fillId="8" borderId="20" applyAlignment="1" pivotButton="0" quotePrefix="0" xfId="0">
      <alignment horizontal="center" vertical="center"/>
    </xf>
    <xf numFmtId="0" fontId="4" fillId="8" borderId="20" applyAlignment="1" pivotButton="0" quotePrefix="0" xfId="0">
      <alignment horizontal="center"/>
    </xf>
    <xf numFmtId="0" fontId="4" fillId="8" borderId="20" applyAlignment="1" pivotButton="0" quotePrefix="0" xfId="0">
      <alignment horizontal="left" vertical="center"/>
    </xf>
    <xf numFmtId="0" fontId="4" fillId="8" borderId="21" applyAlignment="1" pivotButton="0" quotePrefix="0" xfId="0">
      <alignment horizontal="left"/>
    </xf>
    <xf numFmtId="0" fontId="2" fillId="0" borderId="22" applyAlignment="1" pivotButton="0" quotePrefix="0" xfId="0">
      <alignment horizontal="left" vertical="top"/>
    </xf>
    <xf numFmtId="0" fontId="2" fillId="0" borderId="22" applyAlignment="1" pivotButton="0" quotePrefix="0" xfId="0">
      <alignment vertical="top"/>
    </xf>
    <xf numFmtId="1" fontId="2" fillId="0" borderId="23" applyAlignment="1" pivotButton="0" quotePrefix="0" xfId="0">
      <alignment horizontal="center" vertical="top" wrapText="1"/>
    </xf>
    <xf numFmtId="165" fontId="2" fillId="0" borderId="23" applyAlignment="1" pivotButton="0" quotePrefix="0" xfId="0">
      <alignment horizontal="center" vertical="top" wrapText="1"/>
    </xf>
    <xf numFmtId="165" fontId="4" fillId="0" borderId="23" applyAlignment="1" pivotButton="0" quotePrefix="0" xfId="0">
      <alignment horizontal="center" vertical="top" wrapText="1"/>
    </xf>
    <xf numFmtId="0" fontId="2" fillId="0" borderId="23" applyAlignment="1" pivotButton="0" quotePrefix="0" xfId="0">
      <alignment horizontal="left" vertical="top" wrapText="1"/>
    </xf>
    <xf numFmtId="165" fontId="2" fillId="0" borderId="23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2" fontId="11" fillId="4" borderId="13" applyAlignment="1" pivotButton="0" quotePrefix="0" xfId="0">
      <alignment horizontal="center"/>
    </xf>
    <xf numFmtId="166" fontId="2" fillId="4" borderId="3" applyAlignment="1" pivotButton="0" quotePrefix="0" xfId="0">
      <alignment horizontal="right"/>
    </xf>
    <xf numFmtId="0" fontId="9" fillId="12" borderId="44" pivotButton="0" quotePrefix="0" xfId="0"/>
    <xf numFmtId="0" fontId="2" fillId="8" borderId="4" applyAlignment="1" pivotButton="0" quotePrefix="0" xfId="0">
      <alignment horizontal="center"/>
    </xf>
    <xf numFmtId="166" fontId="2" fillId="8" borderId="49" applyAlignment="1" pivotButton="0" quotePrefix="0" xfId="0">
      <alignment horizontal="right"/>
    </xf>
    <xf numFmtId="166" fontId="2" fillId="8" borderId="48" applyAlignment="1" pivotButton="0" quotePrefix="0" xfId="0">
      <alignment horizontal="right"/>
    </xf>
    <xf numFmtId="171" fontId="2" fillId="0" borderId="46" applyAlignment="1" pivotButton="0" quotePrefix="0" xfId="0">
      <alignment horizontal="left"/>
    </xf>
    <xf numFmtId="171" fontId="2" fillId="4" borderId="49" applyAlignment="1" pivotButton="0" quotePrefix="0" xfId="0">
      <alignment horizontal="left"/>
    </xf>
    <xf numFmtId="171" fontId="2" fillId="11" borderId="45" applyAlignment="1" pivotButton="0" quotePrefix="0" xfId="0">
      <alignment horizontal="left"/>
    </xf>
    <xf numFmtId="171" fontId="2" fillId="13" borderId="46" applyAlignment="1" pivotButton="0" quotePrefix="0" xfId="0">
      <alignment horizontal="left"/>
    </xf>
    <xf numFmtId="171" fontId="2" fillId="14" borderId="45" applyAlignment="1" pivotButton="0" quotePrefix="0" xfId="0">
      <alignment horizontal="left"/>
    </xf>
    <xf numFmtId="171" fontId="2" fillId="0" borderId="48" applyAlignment="1" pivotButton="0" quotePrefix="0" xfId="0">
      <alignment horizontal="left"/>
    </xf>
    <xf numFmtId="171" fontId="2" fillId="4" borderId="3" applyAlignment="1" pivotButton="0" quotePrefix="0" xfId="0">
      <alignment horizontal="left"/>
    </xf>
    <xf numFmtId="166" fontId="2" fillId="4" borderId="49" applyAlignment="1" pivotButton="0" quotePrefix="0" xfId="0">
      <alignment horizontal="right"/>
    </xf>
    <xf numFmtId="0" fontId="2" fillId="0" borderId="48" applyAlignment="1" pivotButton="0" quotePrefix="0" xfId="0">
      <alignment horizontal="left"/>
    </xf>
    <xf numFmtId="0" fontId="2" fillId="0" borderId="53" applyAlignment="1" pivotButton="0" quotePrefix="0" xfId="0">
      <alignment horizontal="left"/>
    </xf>
    <xf numFmtId="166" fontId="4" fillId="0" borderId="4" applyAlignment="1" pivotButton="0" quotePrefix="0" xfId="0">
      <alignment horizontal="right"/>
    </xf>
  </cellXfs>
  <cellStyles count="1">
    <cellStyle name="Normal" xfId="0" builtinId="0" hidden="0"/>
  </cellStyles>
  <dxfs count="6">
    <dxf>
      <border>
        <left style="thin">
          <color rgb="FFC00000"/>
        </left>
        <right style="thin">
          <color rgb="FFC00000"/>
        </right>
      </border>
    </dxf>
    <dxf>
      <font>
        <color rgb="FFFFFFFF"/>
      </font>
      <fill>
        <patternFill patternType="solid">
          <fgColor rgb="FFC0504D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007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trlProps/ctrlProp1.xml><?xml version="1.0" encoding="utf-8"?>
<formControlPr xmlns="http://schemas.microsoft.com/office/spreadsheetml/2009/9/main" objectType="Scroll" dx="22" fmlaLink="'3rd party Planner'!$G$4" horiz="1" max="100" min="1" page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1</xdr:row>
          <xdr:rowOff>123825</xdr:rowOff>
        </xdr:from>
        <xdr:to>
          <xdr:col>27</xdr:col>
          <xdr:colOff>104775</xdr:colOff>
          <xdr:row>3</xdr:row>
          <xdr:rowOff>19050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29"/>
  <sheetViews>
    <sheetView showGridLines="0" zoomScale="9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5703125" customWidth="1" min="1" max="1"/>
    <col width="63.42578125" customWidth="1" min="2" max="2"/>
    <col width="11.28515625" customWidth="1" min="3" max="3"/>
    <col outlineLevel="1" width="7.5703125" customWidth="1" min="4" max="4"/>
    <col outlineLevel="1" width="13.85546875" customWidth="1" min="5" max="5"/>
    <col outlineLevel="1" width="13.5703125" customWidth="1" min="6" max="6"/>
    <col width="7.5703125" customWidth="1" min="7" max="7"/>
    <col width="13.85546875" customWidth="1" min="8" max="8"/>
    <col width="17.42578125" customWidth="1" min="9" max="9"/>
    <col hidden="1" width="6.42578125" customWidth="1" min="10" max="10"/>
    <col width="4.42578125" customWidth="1" min="11" max="11"/>
    <col width="16.5703125" customWidth="1" min="12" max="12"/>
    <col outlineLevel="1" width="11.42578125" customWidth="1" min="13" max="13"/>
    <col outlineLevel="1" width="13" customWidth="1" min="14" max="14"/>
    <col outlineLevel="1" width="16.85546875" customWidth="1" min="15" max="15"/>
    <col width="22.5703125" customWidth="1" min="16" max="16"/>
    <col width="13.28515625" customWidth="1" min="17" max="17"/>
    <col width="23.5703125" customWidth="1" min="18" max="18"/>
  </cols>
  <sheetData>
    <row r="1" ht="13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7.25" customHeight="1">
      <c r="A2" s="2" t="inlineStr">
        <is>
          <t>PRICE COMPARISON - DRYDOCKING AL-IDRISI</t>
        </is>
      </c>
      <c r="B2" s="1" t="n"/>
      <c r="C2" s="1" t="n"/>
      <c r="D2" s="1" t="n"/>
      <c r="E2" s="1" t="n"/>
      <c r="F2" s="1" t="n"/>
      <c r="G2" s="1" t="n"/>
      <c r="H2" s="1" t="n"/>
      <c r="I2" s="3" t="inlineStr">
        <is>
          <t>not completed yet</t>
        </is>
      </c>
      <c r="J2" s="1" t="n"/>
      <c r="K2" s="4" t="n"/>
      <c r="L2" s="1" t="n"/>
      <c r="M2" s="1" t="n"/>
      <c r="N2" s="1" t="n"/>
      <c r="O2" s="1" t="n"/>
      <c r="P2" s="5" t="inlineStr">
        <is>
          <t>Rev. #</t>
        </is>
      </c>
      <c r="Q2" s="6" t="inlineStr">
        <is>
          <t>Name</t>
        </is>
      </c>
      <c r="R2" s="7" t="inlineStr">
        <is>
          <t>Date</t>
        </is>
      </c>
    </row>
    <row r="3" ht="15.75" customHeight="1">
      <c r="A3" s="8" t="inlineStr">
        <is>
          <t xml:space="preserve">1 &lt;CUR&gt; = </t>
        </is>
      </c>
      <c r="B3" s="9" t="n"/>
      <c r="C3" s="10" t="inlineStr">
        <is>
          <t>Wisselkoers &lt;date&gt;</t>
        </is>
      </c>
      <c r="D3" s="10" t="n"/>
      <c r="E3" s="10" t="n"/>
      <c r="F3" s="10" t="n"/>
      <c r="G3" s="10" t="n"/>
      <c r="H3" s="1" t="n"/>
      <c r="I3" s="11" t="inlineStr">
        <is>
          <t>agreed</t>
        </is>
      </c>
      <c r="J3" s="1" t="n"/>
      <c r="K3" s="4" t="n"/>
      <c r="L3" s="1" t="n"/>
      <c r="M3" s="1" t="n"/>
      <c r="N3" s="1" t="n"/>
      <c r="O3" s="1" t="n"/>
      <c r="P3" s="12">
        <f>IFERROR(LOOKUP(2,1/('SOW initial'!$G$3:$G$12&lt;&gt;""),'SOW initial'!$G$3:$G$12),"")</f>
        <v/>
      </c>
      <c r="Q3" s="13">
        <f>IFERROR(LOOKUP(2,1/('SOW initial'!$H$3:$H$12&lt;&gt;""),'SOW initial'!$H$3:$H$12),"")</f>
        <v/>
      </c>
      <c r="R3" s="14">
        <f>IFERROR(LOOKUP(2,1/('SOW initial'!$I$3:$I$12&lt;&gt;""),'SOW initial'!$I$3:$I$12),"")</f>
        <v/>
      </c>
    </row>
    <row r="4" ht="15.75" customHeight="1">
      <c r="A4" s="8" t="inlineStr">
        <is>
          <t>1 USD =</t>
        </is>
      </c>
      <c r="B4" s="15" t="n"/>
      <c r="C4" s="16" t="n"/>
      <c r="D4" s="16" t="n"/>
      <c r="E4" s="1" t="n"/>
      <c r="F4" s="1" t="n"/>
      <c r="G4" s="16" t="n"/>
      <c r="H4" s="1" t="n"/>
      <c r="I4" s="17" t="inlineStr">
        <is>
          <t>not agreed</t>
        </is>
      </c>
      <c r="J4" s="1" t="n"/>
      <c r="K4" s="4" t="n"/>
      <c r="L4" s="1" t="n"/>
      <c r="M4" s="1" t="n"/>
      <c r="N4" s="1" t="n"/>
      <c r="O4" s="1" t="n"/>
      <c r="P4" s="18" t="inlineStr">
        <is>
          <t>Last change</t>
        </is>
      </c>
      <c r="Q4" s="19" t="n"/>
      <c r="R4" s="20">
        <f>LastChange</f>
        <v/>
      </c>
    </row>
    <row r="5" ht="13.5" customHeight="1">
      <c r="A5" s="8" t="inlineStr">
        <is>
          <t>1 USD =</t>
        </is>
      </c>
      <c r="B5" s="21" t="n"/>
      <c r="C5" s="21" t="n"/>
      <c r="D5" s="21" t="n"/>
      <c r="E5" s="1" t="n"/>
      <c r="F5" s="1" t="n"/>
      <c r="G5" s="21" t="n"/>
      <c r="H5" s="1" t="n"/>
      <c r="I5" s="22" t="inlineStr">
        <is>
          <t>discussion</t>
        </is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 ht="15.75" customHeight="1">
      <c r="A6" s="23" t="n"/>
      <c r="B6" s="24" t="n"/>
      <c r="C6" s="25" t="n"/>
      <c r="D6" s="26" t="n"/>
      <c r="E6" s="27" t="inlineStr">
        <is>
          <t>Yard 1</t>
        </is>
      </c>
      <c r="F6" s="28" t="n"/>
      <c r="G6" s="26" t="n"/>
      <c r="H6" s="29" t="inlineStr">
        <is>
          <t>Draft Invoice</t>
        </is>
      </c>
      <c r="I6" s="30" t="inlineStr">
        <is>
          <t>Draft Invoice</t>
        </is>
      </c>
      <c r="J6" s="31" t="inlineStr">
        <is>
          <t>%total</t>
        </is>
      </c>
      <c r="K6" s="32" t="n"/>
      <c r="L6" s="33" t="inlineStr">
        <is>
          <t>Agreed</t>
        </is>
      </c>
      <c r="M6" s="34" t="inlineStr">
        <is>
          <t>Discussion</t>
        </is>
      </c>
      <c r="N6" s="35" t="inlineStr">
        <is>
          <t>Not agreed</t>
        </is>
      </c>
      <c r="O6" s="36" t="inlineStr">
        <is>
          <t>Obtained reduction</t>
        </is>
      </c>
      <c r="P6" s="37" t="inlineStr">
        <is>
          <t>Final</t>
        </is>
      </c>
      <c r="Q6" s="37" t="inlineStr">
        <is>
          <t>Remarks</t>
        </is>
      </c>
      <c r="R6" s="37" t="inlineStr">
        <is>
          <t>Cost Code</t>
        </is>
      </c>
    </row>
    <row r="7" ht="13.5" customHeight="1">
      <c r="A7" s="38" t="inlineStr">
        <is>
          <t>Par.</t>
        </is>
      </c>
      <c r="B7" s="39" t="inlineStr">
        <is>
          <t>Description</t>
        </is>
      </c>
      <c r="C7" s="39" t="inlineStr">
        <is>
          <t>Units</t>
        </is>
      </c>
      <c r="D7" s="40" t="inlineStr">
        <is>
          <t>Qty.</t>
        </is>
      </c>
      <c r="E7" s="41" t="inlineStr">
        <is>
          <t>USD/unit</t>
        </is>
      </c>
      <c r="F7" s="42" t="inlineStr">
        <is>
          <t>USD</t>
        </is>
      </c>
      <c r="G7" s="40" t="inlineStr">
        <is>
          <t>Qty.</t>
        </is>
      </c>
      <c r="H7" s="41" t="inlineStr">
        <is>
          <t>USD/unit</t>
        </is>
      </c>
      <c r="I7" s="43" t="inlineStr">
        <is>
          <t>USD</t>
        </is>
      </c>
      <c r="J7" s="44" t="inlineStr">
        <is>
          <t>%</t>
        </is>
      </c>
      <c r="K7" s="45" t="n"/>
      <c r="L7" s="46" t="inlineStr">
        <is>
          <t>USD</t>
        </is>
      </c>
      <c r="M7" s="47" t="inlineStr">
        <is>
          <t>USD</t>
        </is>
      </c>
      <c r="N7" s="48" t="inlineStr">
        <is>
          <t>USD</t>
        </is>
      </c>
      <c r="O7" s="49" t="inlineStr">
        <is>
          <t>USD</t>
        </is>
      </c>
      <c r="P7" s="50" t="inlineStr">
        <is>
          <t>USD</t>
        </is>
      </c>
      <c r="Q7" s="1" t="n"/>
      <c r="R7" s="1" t="n"/>
    </row>
    <row r="8">
      <c r="A8" s="51" t="n"/>
      <c r="B8" s="52" t="n"/>
      <c r="C8" s="53" t="n"/>
      <c r="D8" s="54" t="n"/>
      <c r="E8" s="55" t="n"/>
      <c r="F8" s="56">
        <f>D8*E8</f>
        <v/>
      </c>
      <c r="G8" s="54" t="n"/>
      <c r="H8" s="55" t="n"/>
      <c r="I8" s="57">
        <f>H8*G8</f>
        <v/>
      </c>
      <c r="J8" s="58">
        <f>IFERROR(I8/$I$104,0)</f>
        <v/>
      </c>
      <c r="K8" s="59" t="n"/>
      <c r="L8" s="60" t="n"/>
      <c r="M8" s="61" t="n"/>
      <c r="N8" s="62" t="n"/>
      <c r="O8" s="63" t="n"/>
      <c r="P8" s="56">
        <f>I8-O8</f>
        <v/>
      </c>
      <c r="Q8" s="1" t="n"/>
      <c r="R8" s="64" t="n"/>
    </row>
    <row r="9">
      <c r="A9" s="51" t="n"/>
      <c r="B9" s="52" t="n"/>
      <c r="C9" s="53" t="n"/>
      <c r="D9" s="54" t="n"/>
      <c r="E9" s="55" t="n"/>
      <c r="F9" s="56">
        <f>D9*E9</f>
        <v/>
      </c>
      <c r="G9" s="54" t="n"/>
      <c r="H9" s="55" t="n"/>
      <c r="I9" s="57">
        <f>H9*G9</f>
        <v/>
      </c>
      <c r="J9" s="58">
        <f>IFERROR(I9/$I$104,0)</f>
        <v/>
      </c>
      <c r="K9" s="59" t="n"/>
      <c r="L9" s="60" t="n"/>
      <c r="M9" s="61" t="n"/>
      <c r="N9" s="62" t="n"/>
      <c r="O9" s="63" t="n"/>
      <c r="P9" s="56">
        <f>I9-O9</f>
        <v/>
      </c>
      <c r="Q9" s="1" t="n"/>
      <c r="R9" s="64" t="n"/>
    </row>
    <row r="10">
      <c r="A10" s="51" t="n"/>
      <c r="B10" s="52" t="n"/>
      <c r="C10" s="53" t="n"/>
      <c r="D10" s="54" t="n"/>
      <c r="E10" s="55" t="n"/>
      <c r="F10" s="56">
        <f>D10*E10</f>
        <v/>
      </c>
      <c r="G10" s="54" t="n"/>
      <c r="H10" s="55" t="n"/>
      <c r="I10" s="57">
        <f>H10*G10</f>
        <v/>
      </c>
      <c r="J10" s="58">
        <f>IFERROR(I10/$I$104,0)</f>
        <v/>
      </c>
      <c r="K10" s="59" t="n"/>
      <c r="L10" s="60" t="n"/>
      <c r="M10" s="61" t="n"/>
      <c r="N10" s="62" t="n"/>
      <c r="O10" s="63" t="n"/>
      <c r="P10" s="56">
        <f>I10-O10</f>
        <v/>
      </c>
      <c r="Q10" s="1" t="n"/>
      <c r="R10" s="64" t="n"/>
    </row>
    <row r="11">
      <c r="A11" s="51" t="n"/>
      <c r="B11" s="52" t="n"/>
      <c r="C11" s="53" t="n"/>
      <c r="D11" s="54" t="n"/>
      <c r="E11" s="55" t="n"/>
      <c r="F11" s="56">
        <f>D11*E11</f>
        <v/>
      </c>
      <c r="G11" s="54" t="n"/>
      <c r="H11" s="55" t="n"/>
      <c r="I11" s="57">
        <f>H11*G11</f>
        <v/>
      </c>
      <c r="J11" s="58">
        <f>IFERROR(I11/$I$104,0)</f>
        <v/>
      </c>
      <c r="K11" s="59" t="n"/>
      <c r="L11" s="60" t="n"/>
      <c r="M11" s="61" t="n"/>
      <c r="N11" s="62" t="n"/>
      <c r="O11" s="63" t="n"/>
      <c r="P11" s="56">
        <f>I11-O11</f>
        <v/>
      </c>
      <c r="Q11" s="1" t="n"/>
      <c r="R11" s="64" t="n"/>
    </row>
    <row r="12">
      <c r="A12" s="51" t="n"/>
      <c r="B12" s="52" t="n"/>
      <c r="C12" s="53" t="n"/>
      <c r="D12" s="54" t="n"/>
      <c r="E12" s="55" t="n"/>
      <c r="F12" s="56">
        <f>D12*E12</f>
        <v/>
      </c>
      <c r="G12" s="54" t="n"/>
      <c r="H12" s="55" t="n"/>
      <c r="I12" s="57">
        <f>H12*G12</f>
        <v/>
      </c>
      <c r="J12" s="58">
        <f>IFERROR(I12/$I$104,0)</f>
        <v/>
      </c>
      <c r="K12" s="59" t="n"/>
      <c r="L12" s="60" t="n"/>
      <c r="M12" s="61" t="n"/>
      <c r="N12" s="62" t="n"/>
      <c r="O12" s="63" t="n"/>
      <c r="P12" s="56">
        <f>I12-O12</f>
        <v/>
      </c>
      <c r="Q12" s="1" t="n"/>
      <c r="R12" s="64" t="n"/>
    </row>
    <row r="13">
      <c r="A13" s="1" t="n"/>
      <c r="B13" s="65" t="inlineStr">
        <is>
          <t>Subtotal Pilotage, mooring and unmooring</t>
        </is>
      </c>
      <c r="C13" s="66" t="n"/>
      <c r="D13" s="66" t="n"/>
      <c r="E13" s="67" t="n"/>
      <c r="F13" s="68">
        <f>SUBTOTAL(9,F8:F12)</f>
        <v/>
      </c>
      <c r="G13" s="66" t="n"/>
      <c r="H13" s="69">
        <f>SUBTOTAL(9,H8:H12)</f>
        <v/>
      </c>
      <c r="I13" s="70">
        <f>SUBTOTAL(9,I8:I12)</f>
        <v/>
      </c>
      <c r="J13" s="58">
        <f>IFERROR(I13/$I$104,0)</f>
        <v/>
      </c>
      <c r="K13" s="71" t="n"/>
      <c r="L13" s="72">
        <f>SUBTOTAL(9,L8:L12)</f>
        <v/>
      </c>
      <c r="M13" s="73">
        <f>SUBTOTAL(9,M8:M12)</f>
        <v/>
      </c>
      <c r="N13" s="72">
        <f>SUBTOTAL(9,N8:N12)</f>
        <v/>
      </c>
      <c r="O13" s="73">
        <f>SUBTOTAL(9,O8:O12)</f>
        <v/>
      </c>
      <c r="P13" s="68">
        <f>SUBTOTAL(9,P8:P12)</f>
        <v/>
      </c>
      <c r="Q13" s="1" t="n"/>
      <c r="R13" s="1" t="n"/>
    </row>
    <row r="14">
      <c r="A14" s="51" t="n"/>
      <c r="B14" s="52" t="n"/>
      <c r="C14" s="53" t="n"/>
      <c r="D14" s="54" t="n"/>
      <c r="E14" s="55" t="n"/>
      <c r="F14" s="56">
        <f>D14*E14</f>
        <v/>
      </c>
      <c r="G14" s="54" t="n"/>
      <c r="H14" s="55" t="n"/>
      <c r="I14" s="57">
        <f>H14*G14</f>
        <v/>
      </c>
      <c r="J14" s="58">
        <f>IFERROR(I14/$I$104,0)</f>
        <v/>
      </c>
      <c r="K14" s="59" t="n"/>
      <c r="L14" s="60" t="n"/>
      <c r="M14" s="61" t="n"/>
      <c r="N14" s="62" t="n"/>
      <c r="O14" s="63" t="n"/>
      <c r="P14" s="56">
        <f>I14-O14</f>
        <v/>
      </c>
      <c r="Q14" s="1" t="n"/>
      <c r="R14" s="64" t="n"/>
    </row>
    <row r="15">
      <c r="A15" s="51" t="n"/>
      <c r="B15" s="52" t="n"/>
      <c r="C15" s="53" t="n"/>
      <c r="D15" s="54" t="n"/>
      <c r="E15" s="55" t="n"/>
      <c r="F15" s="56">
        <f>D15*E15</f>
        <v/>
      </c>
      <c r="G15" s="54" t="n"/>
      <c r="H15" s="55" t="n"/>
      <c r="I15" s="57">
        <f>H15*G15</f>
        <v/>
      </c>
      <c r="J15" s="58">
        <f>IFERROR(I15/$I$104,0)</f>
        <v/>
      </c>
      <c r="K15" s="59" t="n"/>
      <c r="L15" s="60" t="n"/>
      <c r="M15" s="61" t="n"/>
      <c r="N15" s="62" t="n"/>
      <c r="O15" s="63" t="n"/>
      <c r="P15" s="56">
        <f>I15-O15</f>
        <v/>
      </c>
      <c r="Q15" s="1" t="n"/>
      <c r="R15" s="64" t="n"/>
    </row>
    <row r="16">
      <c r="A16" s="51" t="n"/>
      <c r="B16" s="52" t="n"/>
      <c r="C16" s="53" t="n"/>
      <c r="D16" s="54" t="n"/>
      <c r="E16" s="55" t="n"/>
      <c r="F16" s="56">
        <f>D16*E16</f>
        <v/>
      </c>
      <c r="G16" s="54" t="n"/>
      <c r="H16" s="55" t="n"/>
      <c r="I16" s="57">
        <f>H16*G16</f>
        <v/>
      </c>
      <c r="J16" s="58">
        <f>IFERROR(I16/$I$104,0)</f>
        <v/>
      </c>
      <c r="K16" s="59" t="n"/>
      <c r="L16" s="60" t="n"/>
      <c r="M16" s="61" t="n"/>
      <c r="N16" s="62" t="n"/>
      <c r="O16" s="63" t="n"/>
      <c r="P16" s="56">
        <f>I16-O16</f>
        <v/>
      </c>
      <c r="Q16" s="1" t="n"/>
      <c r="R16" s="64" t="n"/>
    </row>
    <row r="17">
      <c r="A17" s="51" t="n"/>
      <c r="B17" s="52" t="n"/>
      <c r="C17" s="53" t="n"/>
      <c r="D17" s="54" t="n"/>
      <c r="E17" s="55" t="n"/>
      <c r="F17" s="56">
        <f>D17*E17</f>
        <v/>
      </c>
      <c r="G17" s="54" t="n"/>
      <c r="H17" s="55" t="n"/>
      <c r="I17" s="57">
        <f>H17*G17</f>
        <v/>
      </c>
      <c r="J17" s="58">
        <f>IFERROR(I17/$I$104,0)</f>
        <v/>
      </c>
      <c r="K17" s="59" t="n"/>
      <c r="L17" s="60" t="n"/>
      <c r="M17" s="61" t="n"/>
      <c r="N17" s="62" t="n"/>
      <c r="O17" s="63" t="n"/>
      <c r="P17" s="56">
        <f>I17-O17</f>
        <v/>
      </c>
      <c r="Q17" s="1" t="n"/>
      <c r="R17" s="64" t="n"/>
    </row>
    <row r="18">
      <c r="A18" s="51" t="n"/>
      <c r="B18" s="52" t="n"/>
      <c r="C18" s="53" t="n"/>
      <c r="D18" s="54" t="n"/>
      <c r="E18" s="55" t="n"/>
      <c r="F18" s="56">
        <f>D18*E18</f>
        <v/>
      </c>
      <c r="G18" s="54" t="n"/>
      <c r="H18" s="55" t="n"/>
      <c r="I18" s="57">
        <f>H18*G18</f>
        <v/>
      </c>
      <c r="J18" s="58">
        <f>IFERROR(I18/$I$104,0)</f>
        <v/>
      </c>
      <c r="K18" s="59" t="n"/>
      <c r="L18" s="60" t="n"/>
      <c r="M18" s="61" t="n"/>
      <c r="N18" s="62" t="n"/>
      <c r="O18" s="63" t="n"/>
      <c r="P18" s="56">
        <f>I18-O18</f>
        <v/>
      </c>
      <c r="Q18" s="1" t="n"/>
      <c r="R18" s="64" t="n"/>
    </row>
    <row r="19">
      <c r="A19" s="1" t="n"/>
      <c r="B19" s="65" t="inlineStr">
        <is>
          <t>Subtotal Drydocking</t>
        </is>
      </c>
      <c r="C19" s="66" t="n"/>
      <c r="D19" s="66" t="n"/>
      <c r="E19" s="67" t="n"/>
      <c r="F19" s="68">
        <f>SUBTOTAL(9,F14:F18)</f>
        <v/>
      </c>
      <c r="G19" s="66" t="n"/>
      <c r="H19" s="69">
        <f>SUBTOTAL(9,H14:H18)</f>
        <v/>
      </c>
      <c r="I19" s="70">
        <f>SUBTOTAL(9,I14:I18)</f>
        <v/>
      </c>
      <c r="J19" s="58">
        <f>IFERROR(I19/$I$104,0)</f>
        <v/>
      </c>
      <c r="K19" s="71" t="n"/>
      <c r="L19" s="72">
        <f>SUBTOTAL(9,L14:L18)</f>
        <v/>
      </c>
      <c r="M19" s="73">
        <f>SUBTOTAL(9,M14:M18)</f>
        <v/>
      </c>
      <c r="N19" s="72">
        <f>SUBTOTAL(9,N14:N18)</f>
        <v/>
      </c>
      <c r="O19" s="73">
        <f>SUBTOTAL(9,O14:O18)</f>
        <v/>
      </c>
      <c r="P19" s="68">
        <f>SUBTOTAL(9,P14:P18)</f>
        <v/>
      </c>
      <c r="Q19" s="1" t="n"/>
      <c r="R19" s="1" t="n"/>
    </row>
    <row r="20">
      <c r="A20" s="51" t="n"/>
      <c r="B20" s="52" t="n"/>
      <c r="C20" s="53" t="n"/>
      <c r="D20" s="54" t="n"/>
      <c r="E20" s="55" t="n"/>
      <c r="F20" s="56">
        <f>D20*E20</f>
        <v/>
      </c>
      <c r="G20" s="54" t="n"/>
      <c r="H20" s="55" t="n"/>
      <c r="I20" s="57">
        <f>H20*G20</f>
        <v/>
      </c>
      <c r="J20" s="58">
        <f>IFERROR(I20/$I$104,0)</f>
        <v/>
      </c>
      <c r="K20" s="59" t="n"/>
      <c r="L20" s="60" t="n"/>
      <c r="M20" s="61" t="n"/>
      <c r="N20" s="62" t="n"/>
      <c r="O20" s="63" t="n"/>
      <c r="P20" s="56">
        <f>I20-O20</f>
        <v/>
      </c>
      <c r="Q20" s="1" t="n"/>
      <c r="R20" s="64" t="n"/>
    </row>
    <row r="21">
      <c r="A21" s="51" t="n"/>
      <c r="B21" s="52" t="n"/>
      <c r="C21" s="53" t="n"/>
      <c r="D21" s="54" t="n"/>
      <c r="E21" s="55" t="n"/>
      <c r="F21" s="56">
        <f>D21*E21</f>
        <v/>
      </c>
      <c r="G21" s="54" t="n"/>
      <c r="H21" s="55" t="n"/>
      <c r="I21" s="57">
        <f>H21*G21</f>
        <v/>
      </c>
      <c r="J21" s="58">
        <f>IFERROR(I21/$I$104,0)</f>
        <v/>
      </c>
      <c r="K21" s="59" t="n"/>
      <c r="L21" s="60" t="n"/>
      <c r="M21" s="61" t="n"/>
      <c r="N21" s="62" t="n"/>
      <c r="O21" s="63" t="n"/>
      <c r="P21" s="56">
        <f>I21-O21</f>
        <v/>
      </c>
      <c r="Q21" s="1" t="n"/>
      <c r="R21" s="64" t="n"/>
    </row>
    <row r="22">
      <c r="A22" s="51" t="n"/>
      <c r="B22" s="52" t="n"/>
      <c r="C22" s="53" t="n"/>
      <c r="D22" s="54" t="n"/>
      <c r="E22" s="55" t="n"/>
      <c r="F22" s="56">
        <f>D22*E22</f>
        <v/>
      </c>
      <c r="G22" s="54" t="n"/>
      <c r="H22" s="55" t="n"/>
      <c r="I22" s="57">
        <f>H22*G22</f>
        <v/>
      </c>
      <c r="J22" s="58">
        <f>IFERROR(I22/$I$104,0)</f>
        <v/>
      </c>
      <c r="K22" s="59" t="n"/>
      <c r="L22" s="60" t="n"/>
      <c r="M22" s="61" t="n"/>
      <c r="N22" s="62" t="n"/>
      <c r="O22" s="63" t="n"/>
      <c r="P22" s="56">
        <f>I22-O22</f>
        <v/>
      </c>
      <c r="Q22" s="1" t="n"/>
      <c r="R22" s="64" t="n"/>
    </row>
    <row r="23">
      <c r="A23" s="51" t="n"/>
      <c r="B23" s="52" t="n"/>
      <c r="C23" s="53" t="n"/>
      <c r="D23" s="54" t="n"/>
      <c r="E23" s="55" t="n"/>
      <c r="F23" s="56">
        <f>D23*E23</f>
        <v/>
      </c>
      <c r="G23" s="54" t="n"/>
      <c r="H23" s="55" t="n"/>
      <c r="I23" s="57">
        <f>H23*G23</f>
        <v/>
      </c>
      <c r="J23" s="58">
        <f>IFERROR(I23/$I$104,0)</f>
        <v/>
      </c>
      <c r="K23" s="59" t="n"/>
      <c r="L23" s="60" t="n"/>
      <c r="M23" s="61" t="n"/>
      <c r="N23" s="62" t="n"/>
      <c r="O23" s="63" t="n"/>
      <c r="P23" s="56">
        <f>I23-O23</f>
        <v/>
      </c>
      <c r="Q23" s="1" t="n"/>
      <c r="R23" s="64" t="n"/>
    </row>
    <row r="24">
      <c r="A24" s="51" t="n"/>
      <c r="B24" s="52" t="n"/>
      <c r="C24" s="53" t="n"/>
      <c r="D24" s="54" t="n"/>
      <c r="E24" s="55" t="n"/>
      <c r="F24" s="56">
        <f>D24*E24</f>
        <v/>
      </c>
      <c r="G24" s="54" t="n"/>
      <c r="H24" s="55" t="n"/>
      <c r="I24" s="57">
        <f>H24*G24</f>
        <v/>
      </c>
      <c r="J24" s="58">
        <f>IFERROR(I24/$I$104,0)</f>
        <v/>
      </c>
      <c r="K24" s="59" t="n"/>
      <c r="L24" s="60" t="n"/>
      <c r="M24" s="61" t="n"/>
      <c r="N24" s="62" t="n"/>
      <c r="O24" s="63" t="n"/>
      <c r="P24" s="56">
        <f>I24-O24</f>
        <v/>
      </c>
      <c r="Q24" s="1" t="n"/>
      <c r="R24" s="64" t="n"/>
    </row>
    <row r="25">
      <c r="A25" s="1" t="n"/>
      <c r="B25" s="65" t="inlineStr">
        <is>
          <t>Subtotal Services</t>
        </is>
      </c>
      <c r="C25" s="66" t="n"/>
      <c r="D25" s="66" t="n"/>
      <c r="E25" s="67" t="n"/>
      <c r="F25" s="68">
        <f>SUBTOTAL(9,F20:F24)</f>
        <v/>
      </c>
      <c r="G25" s="66" t="n"/>
      <c r="H25" s="69">
        <f>SUBTOTAL(9,H20:H24)</f>
        <v/>
      </c>
      <c r="I25" s="70">
        <f>SUBTOTAL(9,I20:I24)</f>
        <v/>
      </c>
      <c r="J25" s="58">
        <f>IFERROR(I25/$I$104,0)</f>
        <v/>
      </c>
      <c r="K25" s="71" t="n"/>
      <c r="L25" s="72">
        <f>SUBTOTAL(9,L20:L24)</f>
        <v/>
      </c>
      <c r="M25" s="73">
        <f>SUBTOTAL(9,M20:M24)</f>
        <v/>
      </c>
      <c r="N25" s="72">
        <f>SUBTOTAL(9,N20:N24)</f>
        <v/>
      </c>
      <c r="O25" s="73">
        <f>SUBTOTAL(9,O20:O24)</f>
        <v/>
      </c>
      <c r="P25" s="68">
        <f>SUBTOTAL(9,P20:P24)</f>
        <v/>
      </c>
      <c r="Q25" s="1" t="n"/>
      <c r="R25" s="1" t="n"/>
    </row>
    <row r="26">
      <c r="A26" s="51" t="n"/>
      <c r="B26" s="52" t="n"/>
      <c r="C26" s="53" t="n"/>
      <c r="D26" s="54" t="n"/>
      <c r="E26" s="55" t="n"/>
      <c r="F26" s="56">
        <f>D26*E26</f>
        <v/>
      </c>
      <c r="G26" s="54" t="n"/>
      <c r="H26" s="55" t="n"/>
      <c r="I26" s="57">
        <f>H26*G26</f>
        <v/>
      </c>
      <c r="J26" s="58">
        <f>IFERROR(I26/$I$104,0)</f>
        <v/>
      </c>
      <c r="K26" s="59" t="n"/>
      <c r="L26" s="60" t="n"/>
      <c r="M26" s="61" t="n"/>
      <c r="N26" s="62" t="n"/>
      <c r="O26" s="63" t="n"/>
      <c r="P26" s="56">
        <f>I26-O26</f>
        <v/>
      </c>
      <c r="Q26" s="1" t="n"/>
      <c r="R26" s="64" t="n"/>
    </row>
    <row r="27">
      <c r="A27" s="51" t="n"/>
      <c r="B27" s="52" t="n"/>
      <c r="C27" s="53" t="n"/>
      <c r="D27" s="54" t="n"/>
      <c r="E27" s="55" t="n"/>
      <c r="F27" s="56">
        <f>D27*E27</f>
        <v/>
      </c>
      <c r="G27" s="54" t="n"/>
      <c r="H27" s="55" t="n"/>
      <c r="I27" s="57">
        <f>H27*G27</f>
        <v/>
      </c>
      <c r="J27" s="58">
        <f>IFERROR(I27/$I$104,0)</f>
        <v/>
      </c>
      <c r="K27" s="59" t="n"/>
      <c r="L27" s="60" t="n"/>
      <c r="M27" s="61" t="n"/>
      <c r="N27" s="62" t="n"/>
      <c r="O27" s="63" t="n"/>
      <c r="P27" s="56">
        <f>I27-O27</f>
        <v/>
      </c>
      <c r="Q27" s="1" t="n"/>
      <c r="R27" s="64" t="n"/>
    </row>
    <row r="28">
      <c r="A28" s="51" t="n"/>
      <c r="B28" s="52" t="n"/>
      <c r="C28" s="53" t="n"/>
      <c r="D28" s="54" t="n"/>
      <c r="E28" s="55" t="n"/>
      <c r="F28" s="56">
        <f>D28*E28</f>
        <v/>
      </c>
      <c r="G28" s="54" t="n"/>
      <c r="H28" s="55" t="n"/>
      <c r="I28" s="57">
        <f>H28*G28</f>
        <v/>
      </c>
      <c r="J28" s="58">
        <f>IFERROR(I28/$I$104,0)</f>
        <v/>
      </c>
      <c r="K28" s="59" t="n"/>
      <c r="L28" s="60" t="n"/>
      <c r="M28" s="61" t="n"/>
      <c r="N28" s="62" t="n"/>
      <c r="O28" s="63" t="n"/>
      <c r="P28" s="56">
        <f>I28-O28</f>
        <v/>
      </c>
      <c r="Q28" s="1" t="n"/>
      <c r="R28" s="64" t="n"/>
    </row>
    <row r="29">
      <c r="A29" s="51" t="n"/>
      <c r="B29" s="52" t="n"/>
      <c r="C29" s="53" t="n"/>
      <c r="D29" s="54" t="n"/>
      <c r="E29" s="55" t="n"/>
      <c r="F29" s="56">
        <f>D29*E29</f>
        <v/>
      </c>
      <c r="G29" s="54" t="n"/>
      <c r="H29" s="55" t="n"/>
      <c r="I29" s="57">
        <f>H29*G29</f>
        <v/>
      </c>
      <c r="J29" s="58">
        <f>IFERROR(I29/$I$104,0)</f>
        <v/>
      </c>
      <c r="K29" s="59" t="n"/>
      <c r="L29" s="60" t="n"/>
      <c r="M29" s="61" t="n"/>
      <c r="N29" s="62" t="n"/>
      <c r="O29" s="63" t="n"/>
      <c r="P29" s="56">
        <f>I29-O29</f>
        <v/>
      </c>
      <c r="Q29" s="1" t="n"/>
      <c r="R29" s="64" t="n"/>
    </row>
    <row r="30">
      <c r="A30" s="51" t="n"/>
      <c r="B30" s="52" t="n"/>
      <c r="C30" s="53" t="n"/>
      <c r="D30" s="54" t="n"/>
      <c r="E30" s="55" t="n"/>
      <c r="F30" s="56">
        <f>D30*E30</f>
        <v/>
      </c>
      <c r="G30" s="54" t="n"/>
      <c r="H30" s="55" t="n"/>
      <c r="I30" s="57">
        <f>H30*G30</f>
        <v/>
      </c>
      <c r="J30" s="58">
        <f>IFERROR(I30/$I$104,0)</f>
        <v/>
      </c>
      <c r="K30" s="59" t="n"/>
      <c r="L30" s="60" t="n"/>
      <c r="M30" s="61" t="n"/>
      <c r="N30" s="62" t="n"/>
      <c r="O30" s="63" t="n"/>
      <c r="P30" s="56">
        <f>I30-O30</f>
        <v/>
      </c>
      <c r="Q30" s="1" t="n"/>
      <c r="R30" s="64" t="n"/>
    </row>
    <row r="31">
      <c r="A31" s="1" t="n"/>
      <c r="B31" s="65" t="inlineStr">
        <is>
          <t>Subtotal General</t>
        </is>
      </c>
      <c r="C31" s="66" t="n"/>
      <c r="D31" s="66" t="n"/>
      <c r="E31" s="67" t="n"/>
      <c r="F31" s="68">
        <f>SUBTOTAL(9,F26:F30)</f>
        <v/>
      </c>
      <c r="G31" s="66" t="n"/>
      <c r="H31" s="69">
        <f>SUBTOTAL(9,H26:H30)</f>
        <v/>
      </c>
      <c r="I31" s="70">
        <f>SUBTOTAL(9,I26:I30)</f>
        <v/>
      </c>
      <c r="J31" s="58">
        <f>IFERROR(I31/$I$104,0)</f>
        <v/>
      </c>
      <c r="K31" s="71" t="n"/>
      <c r="L31" s="72">
        <f>SUBTOTAL(9,L26:L30)</f>
        <v/>
      </c>
      <c r="M31" s="73">
        <f>SUBTOTAL(9,M26:M30)</f>
        <v/>
      </c>
      <c r="N31" s="72">
        <f>SUBTOTAL(9,N26:N30)</f>
        <v/>
      </c>
      <c r="O31" s="73">
        <f>SUBTOTAL(9,O26:O30)</f>
        <v/>
      </c>
      <c r="P31" s="68">
        <f>SUBTOTAL(9,P26:P30)</f>
        <v/>
      </c>
      <c r="Q31" s="1" t="n"/>
      <c r="R31" s="1" t="n"/>
    </row>
    <row r="32">
      <c r="A32" s="51" t="n"/>
      <c r="B32" s="52" t="n"/>
      <c r="C32" s="53" t="n"/>
      <c r="D32" s="54" t="n"/>
      <c r="E32" s="55" t="n"/>
      <c r="F32" s="56">
        <f>D32*E32</f>
        <v/>
      </c>
      <c r="G32" s="54" t="n"/>
      <c r="H32" s="55" t="n"/>
      <c r="I32" s="57">
        <f>H32*G32</f>
        <v/>
      </c>
      <c r="J32" s="58">
        <f>IFERROR(I32/$I$104,0)</f>
        <v/>
      </c>
      <c r="K32" s="59" t="n"/>
      <c r="L32" s="60" t="n"/>
      <c r="M32" s="61" t="n"/>
      <c r="N32" s="62" t="n"/>
      <c r="O32" s="63" t="n"/>
      <c r="P32" s="56">
        <f>I32-O32</f>
        <v/>
      </c>
      <c r="Q32" s="1" t="n"/>
      <c r="R32" s="64" t="n"/>
    </row>
    <row r="33">
      <c r="A33" s="51" t="n"/>
      <c r="B33" s="52" t="n"/>
      <c r="C33" s="53" t="n"/>
      <c r="D33" s="54" t="n"/>
      <c r="E33" s="55" t="n"/>
      <c r="F33" s="56">
        <f>D33*E33</f>
        <v/>
      </c>
      <c r="G33" s="54" t="n"/>
      <c r="H33" s="55" t="n"/>
      <c r="I33" s="57">
        <f>H33*G33</f>
        <v/>
      </c>
      <c r="J33" s="58">
        <f>IFERROR(I33/$I$104,0)</f>
        <v/>
      </c>
      <c r="K33" s="59" t="n"/>
      <c r="L33" s="60" t="n"/>
      <c r="M33" s="61" t="n"/>
      <c r="N33" s="62" t="n"/>
      <c r="O33" s="63" t="n"/>
      <c r="P33" s="56">
        <f>I33-O33</f>
        <v/>
      </c>
      <c r="Q33" s="1" t="n"/>
      <c r="R33" s="64" t="n"/>
    </row>
    <row r="34">
      <c r="A34" s="51" t="n"/>
      <c r="B34" s="52" t="n"/>
      <c r="C34" s="53" t="n"/>
      <c r="D34" s="54" t="n"/>
      <c r="E34" s="55" t="n"/>
      <c r="F34" s="56">
        <f>D34*E34</f>
        <v/>
      </c>
      <c r="G34" s="54" t="n"/>
      <c r="H34" s="55" t="n"/>
      <c r="I34" s="57">
        <f>H34*G34</f>
        <v/>
      </c>
      <c r="J34" s="58">
        <f>IFERROR(I34/$I$104,0)</f>
        <v/>
      </c>
      <c r="K34" s="59" t="n"/>
      <c r="L34" s="60" t="n"/>
      <c r="M34" s="61" t="n"/>
      <c r="N34" s="62" t="n"/>
      <c r="O34" s="63" t="n"/>
      <c r="P34" s="56">
        <f>I34-O34</f>
        <v/>
      </c>
      <c r="Q34" s="1" t="n"/>
      <c r="R34" s="64" t="n"/>
    </row>
    <row r="35">
      <c r="A35" s="51" t="n"/>
      <c r="B35" s="52" t="n"/>
      <c r="C35" s="53" t="n"/>
      <c r="D35" s="54" t="n"/>
      <c r="E35" s="55" t="n"/>
      <c r="F35" s="56">
        <f>D35*E35</f>
        <v/>
      </c>
      <c r="G35" s="54" t="n"/>
      <c r="H35" s="55" t="n"/>
      <c r="I35" s="57">
        <f>H35*G35</f>
        <v/>
      </c>
      <c r="J35" s="58">
        <f>IFERROR(I35/$I$104,0)</f>
        <v/>
      </c>
      <c r="K35" s="59" t="n"/>
      <c r="L35" s="60" t="n"/>
      <c r="M35" s="61" t="n"/>
      <c r="N35" s="62" t="n"/>
      <c r="O35" s="63" t="n"/>
      <c r="P35" s="56">
        <f>I35-O35</f>
        <v/>
      </c>
      <c r="Q35" s="1" t="n"/>
      <c r="R35" s="64" t="n"/>
    </row>
    <row r="36">
      <c r="A36" s="51" t="n"/>
      <c r="B36" s="52" t="n"/>
      <c r="C36" s="53" t="n"/>
      <c r="D36" s="54" t="n"/>
      <c r="E36" s="55" t="n"/>
      <c r="F36" s="56">
        <f>D36*E36</f>
        <v/>
      </c>
      <c r="G36" s="54" t="n"/>
      <c r="H36" s="55" t="n"/>
      <c r="I36" s="57">
        <f>H36*G36</f>
        <v/>
      </c>
      <c r="J36" s="58">
        <f>IFERROR(I36/$I$104,0)</f>
        <v/>
      </c>
      <c r="K36" s="59" t="n"/>
      <c r="L36" s="60" t="n"/>
      <c r="M36" s="61" t="n"/>
      <c r="N36" s="62" t="n"/>
      <c r="O36" s="63" t="n"/>
      <c r="P36" s="56">
        <f>I36-O36</f>
        <v/>
      </c>
      <c r="Q36" s="1" t="n"/>
      <c r="R36" s="64" t="n"/>
    </row>
    <row r="37">
      <c r="A37" s="1" t="n"/>
      <c r="B37" s="65" t="inlineStr">
        <is>
          <t>Subtotal Surface preparations</t>
        </is>
      </c>
      <c r="C37" s="66" t="n"/>
      <c r="D37" s="66" t="n"/>
      <c r="E37" s="67" t="n"/>
      <c r="F37" s="68">
        <f>SUBTOTAL(9,F32:F36)</f>
        <v/>
      </c>
      <c r="G37" s="66" t="n"/>
      <c r="H37" s="69">
        <f>SUBTOTAL(9,H32:H36)</f>
        <v/>
      </c>
      <c r="I37" s="70">
        <f>SUBTOTAL(9,I32:I36)</f>
        <v/>
      </c>
      <c r="J37" s="58">
        <f>IFERROR(I37/$I$104,0)</f>
        <v/>
      </c>
      <c r="K37" s="71" t="n"/>
      <c r="L37" s="72">
        <f>SUBTOTAL(9,L32:L36)</f>
        <v/>
      </c>
      <c r="M37" s="73">
        <f>SUBTOTAL(9,M32:M36)</f>
        <v/>
      </c>
      <c r="N37" s="72">
        <f>SUBTOTAL(9,N32:N36)</f>
        <v/>
      </c>
      <c r="O37" s="73">
        <f>SUBTOTAL(9,O32:O36)</f>
        <v/>
      </c>
      <c r="P37" s="68">
        <f>SUBTOTAL(9,P32:P36)</f>
        <v/>
      </c>
      <c r="Q37" s="1" t="n"/>
      <c r="R37" s="1" t="n"/>
    </row>
    <row r="38">
      <c r="A38" s="51" t="n"/>
      <c r="B38" s="52" t="n"/>
      <c r="C38" s="53" t="n"/>
      <c r="D38" s="54" t="n"/>
      <c r="E38" s="55" t="n"/>
      <c r="F38" s="56">
        <f>D38*E38</f>
        <v/>
      </c>
      <c r="G38" s="54" t="n"/>
      <c r="H38" s="55" t="n"/>
      <c r="I38" s="57">
        <f>H38*G38</f>
        <v/>
      </c>
      <c r="J38" s="58">
        <f>IFERROR(I38/$I$104,0)</f>
        <v/>
      </c>
      <c r="K38" s="59" t="n"/>
      <c r="L38" s="60" t="n"/>
      <c r="M38" s="61" t="n"/>
      <c r="N38" s="62" t="n"/>
      <c r="O38" s="63" t="n"/>
      <c r="P38" s="56">
        <f>I38-O38</f>
        <v/>
      </c>
      <c r="Q38" s="1" t="n"/>
      <c r="R38" s="64" t="n"/>
    </row>
    <row r="39">
      <c r="A39" s="51" t="n"/>
      <c r="B39" s="52" t="n"/>
      <c r="C39" s="53" t="n"/>
      <c r="D39" s="54" t="n"/>
      <c r="E39" s="55" t="n"/>
      <c r="F39" s="56">
        <f>D39*E39</f>
        <v/>
      </c>
      <c r="G39" s="54" t="n"/>
      <c r="H39" s="55" t="n"/>
      <c r="I39" s="57">
        <f>H39*G39</f>
        <v/>
      </c>
      <c r="J39" s="58">
        <f>IFERROR(I39/$I$104,0)</f>
        <v/>
      </c>
      <c r="K39" s="59" t="n"/>
      <c r="L39" s="60" t="n"/>
      <c r="M39" s="61" t="n"/>
      <c r="N39" s="62" t="n"/>
      <c r="O39" s="63" t="n"/>
      <c r="P39" s="56">
        <f>I39-O39</f>
        <v/>
      </c>
      <c r="Q39" s="1" t="n"/>
      <c r="R39" s="64" t="n"/>
    </row>
    <row r="40">
      <c r="A40" s="51" t="n"/>
      <c r="B40" s="52" t="n"/>
      <c r="C40" s="53" t="n"/>
      <c r="D40" s="54" t="n"/>
      <c r="E40" s="55" t="n"/>
      <c r="F40" s="56">
        <f>D40*E40</f>
        <v/>
      </c>
      <c r="G40" s="54" t="n"/>
      <c r="H40" s="55" t="n"/>
      <c r="I40" s="57">
        <f>H40*G40</f>
        <v/>
      </c>
      <c r="J40" s="58">
        <f>IFERROR(I40/$I$104,0)</f>
        <v/>
      </c>
      <c r="K40" s="59" t="n"/>
      <c r="L40" s="60" t="n"/>
      <c r="M40" s="61" t="n"/>
      <c r="N40" s="62" t="n"/>
      <c r="O40" s="63" t="n"/>
      <c r="P40" s="56">
        <f>I40-O40</f>
        <v/>
      </c>
      <c r="Q40" s="1" t="n"/>
      <c r="R40" s="64" t="n"/>
    </row>
    <row r="41">
      <c r="A41" s="51" t="n"/>
      <c r="B41" s="52" t="n"/>
      <c r="C41" s="53" t="n"/>
      <c r="D41" s="54" t="n"/>
      <c r="E41" s="55" t="n"/>
      <c r="F41" s="56">
        <f>D41*E41</f>
        <v/>
      </c>
      <c r="G41" s="54" t="n"/>
      <c r="H41" s="55" t="n"/>
      <c r="I41" s="57">
        <f>H41*G41</f>
        <v/>
      </c>
      <c r="J41" s="58">
        <f>IFERROR(I41/$I$104,0)</f>
        <v/>
      </c>
      <c r="K41" s="59" t="n"/>
      <c r="L41" s="60" t="n"/>
      <c r="M41" s="61" t="n"/>
      <c r="N41" s="62" t="n"/>
      <c r="O41" s="63" t="n"/>
      <c r="P41" s="56">
        <f>I41-O41</f>
        <v/>
      </c>
      <c r="Q41" s="1" t="n"/>
      <c r="R41" s="64" t="n"/>
    </row>
    <row r="42">
      <c r="A42" s="51" t="n"/>
      <c r="B42" s="52" t="n"/>
      <c r="C42" s="53" t="n"/>
      <c r="D42" s="54" t="n"/>
      <c r="E42" s="55" t="n"/>
      <c r="F42" s="56">
        <f>D42*E42</f>
        <v/>
      </c>
      <c r="G42" s="54" t="n"/>
      <c r="H42" s="55" t="n"/>
      <c r="I42" s="57">
        <f>H42*G42</f>
        <v/>
      </c>
      <c r="J42" s="58">
        <f>IFERROR(I42/$I$104,0)</f>
        <v/>
      </c>
      <c r="K42" s="59" t="n"/>
      <c r="L42" s="60" t="n"/>
      <c r="M42" s="61" t="n"/>
      <c r="N42" s="62" t="n"/>
      <c r="O42" s="63" t="n"/>
      <c r="P42" s="56">
        <f>I42-O42</f>
        <v/>
      </c>
      <c r="Q42" s="1" t="n"/>
      <c r="R42" s="64" t="n"/>
    </row>
    <row r="43">
      <c r="A43" s="1" t="n"/>
      <c r="B43" s="65" t="inlineStr">
        <is>
          <t>Subtotal Paint</t>
        </is>
      </c>
      <c r="C43" s="66" t="n"/>
      <c r="D43" s="66" t="n"/>
      <c r="E43" s="67" t="n"/>
      <c r="F43" s="68">
        <f>SUBTOTAL(9,F38:F42)</f>
        <v/>
      </c>
      <c r="G43" s="66" t="n"/>
      <c r="H43" s="69">
        <f>SUBTOTAL(9,H38:H42)</f>
        <v/>
      </c>
      <c r="I43" s="70">
        <f>SUBTOTAL(9,I38:I42)</f>
        <v/>
      </c>
      <c r="J43" s="58">
        <f>IFERROR(I43/$I$104,0)</f>
        <v/>
      </c>
      <c r="K43" s="71" t="n"/>
      <c r="L43" s="72">
        <f>SUBTOTAL(9,L38:L42)</f>
        <v/>
      </c>
      <c r="M43" s="73">
        <f>SUBTOTAL(9,M38:M42)</f>
        <v/>
      </c>
      <c r="N43" s="72">
        <f>SUBTOTAL(9,N38:N42)</f>
        <v/>
      </c>
      <c r="O43" s="73">
        <f>SUBTOTAL(9,O38:O42)</f>
        <v/>
      </c>
      <c r="P43" s="68">
        <f>SUBTOTAL(9,P38:P42)</f>
        <v/>
      </c>
      <c r="Q43" s="1" t="n"/>
      <c r="R43" s="1" t="n"/>
    </row>
    <row r="44">
      <c r="A44" s="51" t="n"/>
      <c r="B44" s="52" t="n"/>
      <c r="C44" s="53" t="n"/>
      <c r="D44" s="54" t="n"/>
      <c r="E44" s="55" t="n"/>
      <c r="F44" s="56">
        <f>D44*E44</f>
        <v/>
      </c>
      <c r="G44" s="54" t="n"/>
      <c r="H44" s="55" t="n"/>
      <c r="I44" s="57">
        <f>H44*G44</f>
        <v/>
      </c>
      <c r="J44" s="58">
        <f>IFERROR(I44/$I$104,0)</f>
        <v/>
      </c>
      <c r="K44" s="59" t="n"/>
      <c r="L44" s="60" t="n"/>
      <c r="M44" s="61" t="n"/>
      <c r="N44" s="62" t="n"/>
      <c r="O44" s="63" t="n"/>
      <c r="P44" s="56">
        <f>I44-O44</f>
        <v/>
      </c>
      <c r="Q44" s="1" t="n"/>
      <c r="R44" s="64" t="n"/>
    </row>
    <row r="45">
      <c r="A45" s="51" t="n"/>
      <c r="B45" s="52" t="n"/>
      <c r="C45" s="53" t="n"/>
      <c r="D45" s="54" t="n"/>
      <c r="E45" s="55" t="n"/>
      <c r="F45" s="56">
        <f>D45*E45</f>
        <v/>
      </c>
      <c r="G45" s="54" t="n"/>
      <c r="H45" s="55" t="n"/>
      <c r="I45" s="57">
        <f>H45*G45</f>
        <v/>
      </c>
      <c r="J45" s="58">
        <f>IFERROR(I45/$I$104,0)</f>
        <v/>
      </c>
      <c r="K45" s="59" t="n"/>
      <c r="L45" s="60" t="n"/>
      <c r="M45" s="61" t="n"/>
      <c r="N45" s="62" t="n"/>
      <c r="O45" s="63" t="n"/>
      <c r="P45" s="56">
        <f>I45-O45</f>
        <v/>
      </c>
      <c r="Q45" s="1" t="n"/>
      <c r="R45" s="64" t="n"/>
    </row>
    <row r="46">
      <c r="A46" s="51" t="n"/>
      <c r="B46" s="52" t="n"/>
      <c r="C46" s="53" t="n"/>
      <c r="D46" s="54" t="n"/>
      <c r="E46" s="55" t="n"/>
      <c r="F46" s="56">
        <f>D46*E46</f>
        <v/>
      </c>
      <c r="G46" s="54" t="n"/>
      <c r="H46" s="55" t="n"/>
      <c r="I46" s="57">
        <f>H46*G46</f>
        <v/>
      </c>
      <c r="J46" s="58">
        <f>IFERROR(I46/$I$104,0)</f>
        <v/>
      </c>
      <c r="K46" s="59" t="n"/>
      <c r="L46" s="60" t="n"/>
      <c r="M46" s="61" t="n"/>
      <c r="N46" s="62" t="n"/>
      <c r="O46" s="63" t="n"/>
      <c r="P46" s="56">
        <f>I46-O46</f>
        <v/>
      </c>
      <c r="Q46" s="1" t="n"/>
      <c r="R46" s="64" t="n"/>
    </row>
    <row r="47">
      <c r="A47" s="51" t="n"/>
      <c r="B47" s="52" t="n"/>
      <c r="C47" s="53" t="n"/>
      <c r="D47" s="54" t="n"/>
      <c r="E47" s="55" t="n"/>
      <c r="F47" s="56">
        <f>D47*E47</f>
        <v/>
      </c>
      <c r="G47" s="54" t="n"/>
      <c r="H47" s="55" t="n"/>
      <c r="I47" s="57">
        <f>H47*G47</f>
        <v/>
      </c>
      <c r="J47" s="58">
        <f>IFERROR(I47/$I$104,0)</f>
        <v/>
      </c>
      <c r="K47" s="59" t="n"/>
      <c r="L47" s="60" t="n"/>
      <c r="M47" s="61" t="n"/>
      <c r="N47" s="62" t="n"/>
      <c r="O47" s="63" t="n"/>
      <c r="P47" s="56">
        <f>I47-O47</f>
        <v/>
      </c>
      <c r="Q47" s="1" t="n"/>
      <c r="R47" s="64" t="n"/>
    </row>
    <row r="48">
      <c r="A48" s="51" t="n"/>
      <c r="B48" s="52" t="n"/>
      <c r="C48" s="53" t="n"/>
      <c r="D48" s="54" t="n"/>
      <c r="E48" s="55" t="n"/>
      <c r="F48" s="56">
        <f>D48*E48</f>
        <v/>
      </c>
      <c r="G48" s="54" t="n"/>
      <c r="H48" s="55" t="n"/>
      <c r="I48" s="57">
        <f>H48*G48</f>
        <v/>
      </c>
      <c r="J48" s="58">
        <f>IFERROR(I48/$I$104,0)</f>
        <v/>
      </c>
      <c r="K48" s="59" t="n"/>
      <c r="L48" s="60" t="n"/>
      <c r="M48" s="61" t="n"/>
      <c r="N48" s="62" t="n"/>
      <c r="O48" s="63" t="n"/>
      <c r="P48" s="56">
        <f>I48-O48</f>
        <v/>
      </c>
      <c r="Q48" s="1" t="n"/>
      <c r="R48" s="64" t="n"/>
    </row>
    <row r="49">
      <c r="A49" s="1" t="n"/>
      <c r="B49" s="65" t="inlineStr">
        <is>
          <t>Subtotal Steel</t>
        </is>
      </c>
      <c r="C49" s="66" t="n"/>
      <c r="D49" s="66" t="n"/>
      <c r="E49" s="67" t="n"/>
      <c r="F49" s="68">
        <f>SUBTOTAL(9,F44:F48)</f>
        <v/>
      </c>
      <c r="G49" s="66" t="n"/>
      <c r="H49" s="69">
        <f>SUBTOTAL(9,H44:H48)</f>
        <v/>
      </c>
      <c r="I49" s="70">
        <f>SUBTOTAL(9,I44:I48)</f>
        <v/>
      </c>
      <c r="J49" s="58">
        <f>IFERROR(I49/$I$104,0)</f>
        <v/>
      </c>
      <c r="K49" s="71" t="n"/>
      <c r="L49" s="72">
        <f>SUBTOTAL(9,L44:L48)</f>
        <v/>
      </c>
      <c r="M49" s="73">
        <f>SUBTOTAL(9,M44:M48)</f>
        <v/>
      </c>
      <c r="N49" s="72">
        <f>SUBTOTAL(9,N44:N48)</f>
        <v/>
      </c>
      <c r="O49" s="73">
        <f>SUBTOTAL(9,O44:O48)</f>
        <v/>
      </c>
      <c r="P49" s="68">
        <f>SUBTOTAL(9,P44:P48)</f>
        <v/>
      </c>
      <c r="Q49" s="1" t="n"/>
      <c r="R49" s="1" t="n"/>
    </row>
    <row r="50">
      <c r="A50" s="51" t="n"/>
      <c r="B50" s="52" t="n"/>
      <c r="C50" s="53" t="n"/>
      <c r="D50" s="54" t="n"/>
      <c r="E50" s="55" t="n"/>
      <c r="F50" s="56">
        <f>D50*E50</f>
        <v/>
      </c>
      <c r="G50" s="54" t="n"/>
      <c r="H50" s="55" t="n"/>
      <c r="I50" s="57">
        <f>H50*G50</f>
        <v/>
      </c>
      <c r="J50" s="58">
        <f>IFERROR(I50/$I$104,0)</f>
        <v/>
      </c>
      <c r="K50" s="59" t="n"/>
      <c r="L50" s="60" t="n"/>
      <c r="M50" s="61" t="n"/>
      <c r="N50" s="62" t="n"/>
      <c r="O50" s="63" t="n"/>
      <c r="P50" s="56">
        <f>I50-O50</f>
        <v/>
      </c>
      <c r="Q50" s="1" t="n"/>
      <c r="R50" s="64" t="n"/>
    </row>
    <row r="51">
      <c r="A51" s="51" t="n"/>
      <c r="B51" s="52" t="n"/>
      <c r="C51" s="53" t="n"/>
      <c r="D51" s="54" t="n"/>
      <c r="E51" s="55" t="n"/>
      <c r="F51" s="56">
        <f>D51*E51</f>
        <v/>
      </c>
      <c r="G51" s="54" t="n"/>
      <c r="H51" s="55" t="n"/>
      <c r="I51" s="57">
        <f>H51*G51</f>
        <v/>
      </c>
      <c r="J51" s="58">
        <f>IFERROR(I51/$I$104,0)</f>
        <v/>
      </c>
      <c r="K51" s="59" t="n"/>
      <c r="L51" s="60" t="n"/>
      <c r="M51" s="61" t="n"/>
      <c r="N51" s="62" t="n"/>
      <c r="O51" s="63" t="n"/>
      <c r="P51" s="56">
        <f>I51-O51</f>
        <v/>
      </c>
      <c r="Q51" s="1" t="n"/>
      <c r="R51" s="64" t="n"/>
    </row>
    <row r="52">
      <c r="A52" s="51" t="n"/>
      <c r="B52" s="52" t="n"/>
      <c r="C52" s="53" t="n"/>
      <c r="D52" s="54" t="n"/>
      <c r="E52" s="55" t="n"/>
      <c r="F52" s="56">
        <f>D52*E52</f>
        <v/>
      </c>
      <c r="G52" s="54" t="n"/>
      <c r="H52" s="55" t="n"/>
      <c r="I52" s="57">
        <f>H52*G52</f>
        <v/>
      </c>
      <c r="J52" s="58">
        <f>IFERROR(I52/$I$104,0)</f>
        <v/>
      </c>
      <c r="K52" s="59" t="n"/>
      <c r="L52" s="60" t="n"/>
      <c r="M52" s="61" t="n"/>
      <c r="N52" s="62" t="n"/>
      <c r="O52" s="63" t="n"/>
      <c r="P52" s="56">
        <f>I52-O52</f>
        <v/>
      </c>
      <c r="Q52" s="1" t="n"/>
      <c r="R52" s="64" t="n"/>
    </row>
    <row r="53">
      <c r="A53" s="51" t="n"/>
      <c r="B53" s="52" t="n"/>
      <c r="C53" s="53" t="n"/>
      <c r="D53" s="54" t="n"/>
      <c r="E53" s="55" t="n"/>
      <c r="F53" s="56">
        <f>D53*E53</f>
        <v/>
      </c>
      <c r="G53" s="54" t="n"/>
      <c r="H53" s="55" t="n"/>
      <c r="I53" s="57">
        <f>H53*G53</f>
        <v/>
      </c>
      <c r="J53" s="58">
        <f>IFERROR(I53/$I$104,0)</f>
        <v/>
      </c>
      <c r="K53" s="59" t="n"/>
      <c r="L53" s="60" t="n"/>
      <c r="M53" s="61" t="n"/>
      <c r="N53" s="62" t="n"/>
      <c r="O53" s="63" t="n"/>
      <c r="P53" s="56">
        <f>I53-O53</f>
        <v/>
      </c>
      <c r="Q53" s="1" t="n"/>
      <c r="R53" s="64" t="n"/>
    </row>
    <row r="54">
      <c r="A54" s="51" t="n"/>
      <c r="B54" s="52" t="n"/>
      <c r="C54" s="53" t="n"/>
      <c r="D54" s="54" t="n"/>
      <c r="E54" s="55" t="n"/>
      <c r="F54" s="56">
        <f>D54*E54</f>
        <v/>
      </c>
      <c r="G54" s="54" t="n"/>
      <c r="H54" s="55" t="n"/>
      <c r="I54" s="57">
        <f>H54*G54</f>
        <v/>
      </c>
      <c r="J54" s="58">
        <f>IFERROR(I54/$I$104,0)</f>
        <v/>
      </c>
      <c r="K54" s="59" t="n"/>
      <c r="L54" s="60" t="n"/>
      <c r="M54" s="61" t="n"/>
      <c r="N54" s="62" t="n"/>
      <c r="O54" s="63" t="n"/>
      <c r="P54" s="56">
        <f>I54-O54</f>
        <v/>
      </c>
      <c r="Q54" s="1" t="n"/>
      <c r="R54" s="64" t="n"/>
    </row>
    <row r="55">
      <c r="A55" s="1" t="n"/>
      <c r="B55" s="65" t="inlineStr">
        <is>
          <t>Subtotal Tanks</t>
        </is>
      </c>
      <c r="C55" s="66" t="n"/>
      <c r="D55" s="66" t="n"/>
      <c r="E55" s="67" t="n"/>
      <c r="F55" s="68">
        <f>SUBTOTAL(9,F50:F54)</f>
        <v/>
      </c>
      <c r="G55" s="66" t="n"/>
      <c r="H55" s="69">
        <f>SUBTOTAL(9,H50:H54)</f>
        <v/>
      </c>
      <c r="I55" s="70">
        <f>SUBTOTAL(9,I50:I54)</f>
        <v/>
      </c>
      <c r="J55" s="58">
        <f>IFERROR(I55/$I$104,0)</f>
        <v/>
      </c>
      <c r="K55" s="71" t="n"/>
      <c r="L55" s="72">
        <f>SUBTOTAL(9,L50:L54)</f>
        <v/>
      </c>
      <c r="M55" s="73">
        <f>SUBTOTAL(9,M50:M54)</f>
        <v/>
      </c>
      <c r="N55" s="72">
        <f>SUBTOTAL(9,N50:N54)</f>
        <v/>
      </c>
      <c r="O55" s="73">
        <f>SUBTOTAL(9,O50:O54)</f>
        <v/>
      </c>
      <c r="P55" s="68">
        <f>SUBTOTAL(9,P50:P54)</f>
        <v/>
      </c>
      <c r="Q55" s="1" t="n"/>
      <c r="R55" s="1" t="n"/>
    </row>
    <row r="56">
      <c r="A56" s="51" t="n"/>
      <c r="B56" s="52" t="n"/>
      <c r="C56" s="53" t="n"/>
      <c r="D56" s="54" t="n"/>
      <c r="E56" s="55" t="n"/>
      <c r="F56" s="56">
        <f>D56*E56</f>
        <v/>
      </c>
      <c r="G56" s="54" t="n"/>
      <c r="H56" s="55" t="n"/>
      <c r="I56" s="57">
        <f>H56*G56</f>
        <v/>
      </c>
      <c r="J56" s="58">
        <f>IFERROR(I56/$I$104,0)</f>
        <v/>
      </c>
      <c r="K56" s="59" t="n"/>
      <c r="L56" s="60" t="n"/>
      <c r="M56" s="61" t="n"/>
      <c r="N56" s="62" t="n"/>
      <c r="O56" s="63" t="n"/>
      <c r="P56" s="56">
        <f>I56-O56</f>
        <v/>
      </c>
      <c r="Q56" s="1" t="n"/>
      <c r="R56" s="64" t="n"/>
    </row>
    <row r="57">
      <c r="A57" s="51" t="n"/>
      <c r="B57" s="52" t="n"/>
      <c r="C57" s="53" t="n"/>
      <c r="D57" s="54" t="n"/>
      <c r="E57" s="55" t="n"/>
      <c r="F57" s="56">
        <f>D57*E57</f>
        <v/>
      </c>
      <c r="G57" s="54" t="n"/>
      <c r="H57" s="55" t="n"/>
      <c r="I57" s="57">
        <f>H57*G57</f>
        <v/>
      </c>
      <c r="J57" s="58">
        <f>IFERROR(I57/$I$104,0)</f>
        <v/>
      </c>
      <c r="K57" s="59" t="n"/>
      <c r="L57" s="60" t="n"/>
      <c r="M57" s="61" t="n"/>
      <c r="N57" s="62" t="n"/>
      <c r="O57" s="63" t="n"/>
      <c r="P57" s="56">
        <f>I57-O57</f>
        <v/>
      </c>
      <c r="Q57" s="1" t="n"/>
      <c r="R57" s="64" t="n"/>
    </row>
    <row r="58">
      <c r="A58" s="51" t="n"/>
      <c r="B58" s="52" t="n"/>
      <c r="C58" s="53" t="n"/>
      <c r="D58" s="54" t="n"/>
      <c r="E58" s="55" t="n"/>
      <c r="F58" s="56">
        <f>D58*E58</f>
        <v/>
      </c>
      <c r="G58" s="54" t="n"/>
      <c r="H58" s="55" t="n"/>
      <c r="I58" s="57">
        <f>H58*G58</f>
        <v/>
      </c>
      <c r="J58" s="58">
        <f>IFERROR(I58/$I$104,0)</f>
        <v/>
      </c>
      <c r="K58" s="59" t="n"/>
      <c r="L58" s="60" t="n"/>
      <c r="M58" s="61" t="n"/>
      <c r="N58" s="62" t="n"/>
      <c r="O58" s="63" t="n"/>
      <c r="P58" s="56">
        <f>I58-O58</f>
        <v/>
      </c>
      <c r="Q58" s="1" t="n"/>
      <c r="R58" s="64" t="n"/>
    </row>
    <row r="59">
      <c r="A59" s="51" t="n"/>
      <c r="B59" s="52" t="n"/>
      <c r="C59" s="53" t="n"/>
      <c r="D59" s="54" t="n"/>
      <c r="E59" s="55" t="n"/>
      <c r="F59" s="56">
        <f>D59*E59</f>
        <v/>
      </c>
      <c r="G59" s="54" t="n"/>
      <c r="H59" s="55" t="n"/>
      <c r="I59" s="57">
        <f>H59*G59</f>
        <v/>
      </c>
      <c r="J59" s="58">
        <f>IFERROR(I59/$I$104,0)</f>
        <v/>
      </c>
      <c r="K59" s="59" t="n"/>
      <c r="L59" s="60" t="n"/>
      <c r="M59" s="61" t="n"/>
      <c r="N59" s="62" t="n"/>
      <c r="O59" s="63" t="n"/>
      <c r="P59" s="56">
        <f>I59-O59</f>
        <v/>
      </c>
      <c r="Q59" s="1" t="n"/>
      <c r="R59" s="64" t="n"/>
    </row>
    <row r="60">
      <c r="A60" s="51" t="n"/>
      <c r="B60" s="52" t="n"/>
      <c r="C60" s="53" t="n"/>
      <c r="D60" s="54" t="n"/>
      <c r="E60" s="55" t="n"/>
      <c r="F60" s="56">
        <f>D60*E60</f>
        <v/>
      </c>
      <c r="G60" s="54" t="n"/>
      <c r="H60" s="55" t="n"/>
      <c r="I60" s="57">
        <f>H60*G60</f>
        <v/>
      </c>
      <c r="J60" s="58">
        <f>IFERROR(I60/$I$104,0)</f>
        <v/>
      </c>
      <c r="K60" s="59" t="n"/>
      <c r="L60" s="60" t="n"/>
      <c r="M60" s="61" t="n"/>
      <c r="N60" s="62" t="n"/>
      <c r="O60" s="63" t="n"/>
      <c r="P60" s="56">
        <f>I60-O60</f>
        <v/>
      </c>
      <c r="Q60" s="1" t="n"/>
      <c r="R60" s="64" t="n"/>
    </row>
    <row r="61">
      <c r="A61" s="1" t="n"/>
      <c r="B61" s="65" t="inlineStr">
        <is>
          <t>Subtotal Seawater lines</t>
        </is>
      </c>
      <c r="C61" s="66" t="n"/>
      <c r="D61" s="66" t="n"/>
      <c r="E61" s="67" t="n"/>
      <c r="F61" s="68">
        <f>SUBTOTAL(9,F56:F60)</f>
        <v/>
      </c>
      <c r="G61" s="66" t="n"/>
      <c r="H61" s="69">
        <f>SUBTOTAL(9,H56:H60)</f>
        <v/>
      </c>
      <c r="I61" s="70">
        <f>SUBTOTAL(9,I56:I60)</f>
        <v/>
      </c>
      <c r="J61" s="58">
        <f>IFERROR(I61/$I$104,0)</f>
        <v/>
      </c>
      <c r="K61" s="71" t="n"/>
      <c r="L61" s="72">
        <f>SUBTOTAL(9,L56:L60)</f>
        <v/>
      </c>
      <c r="M61" s="73">
        <f>SUBTOTAL(9,M56:M60)</f>
        <v/>
      </c>
      <c r="N61" s="72">
        <f>SUBTOTAL(9,N56:N60)</f>
        <v/>
      </c>
      <c r="O61" s="73">
        <f>SUBTOTAL(9,O56:O60)</f>
        <v/>
      </c>
      <c r="P61" s="68">
        <f>SUBTOTAL(9,P56:P60)</f>
        <v/>
      </c>
      <c r="Q61" s="1" t="n"/>
      <c r="R61" s="1" t="n"/>
    </row>
    <row r="62">
      <c r="A62" s="51" t="n"/>
      <c r="B62" s="52" t="n"/>
      <c r="C62" s="53" t="n"/>
      <c r="D62" s="54" t="n"/>
      <c r="E62" s="55" t="n"/>
      <c r="F62" s="56">
        <f>D62*E62</f>
        <v/>
      </c>
      <c r="G62" s="54" t="n"/>
      <c r="H62" s="55" t="n"/>
      <c r="I62" s="57">
        <f>H62*G62</f>
        <v/>
      </c>
      <c r="J62" s="58">
        <f>IFERROR(I62/$I$104,0)</f>
        <v/>
      </c>
      <c r="K62" s="59" t="n"/>
      <c r="L62" s="60" t="n"/>
      <c r="M62" s="61" t="n"/>
      <c r="N62" s="62" t="n"/>
      <c r="O62" s="63" t="n"/>
      <c r="P62" s="56">
        <f>I62-O62</f>
        <v/>
      </c>
      <c r="Q62" s="1" t="n"/>
      <c r="R62" s="64" t="n"/>
    </row>
    <row r="63">
      <c r="A63" s="51" t="n"/>
      <c r="B63" s="52" t="n"/>
      <c r="C63" s="53" t="n"/>
      <c r="D63" s="54" t="n"/>
      <c r="E63" s="55" t="n"/>
      <c r="F63" s="56">
        <f>D63*E63</f>
        <v/>
      </c>
      <c r="G63" s="54" t="n"/>
      <c r="H63" s="55" t="n"/>
      <c r="I63" s="57">
        <f>H63*G63</f>
        <v/>
      </c>
      <c r="J63" s="58">
        <f>IFERROR(I63/$I$104,0)</f>
        <v/>
      </c>
      <c r="K63" s="59" t="n"/>
      <c r="L63" s="60" t="n"/>
      <c r="M63" s="61" t="n"/>
      <c r="N63" s="62" t="n"/>
      <c r="O63" s="63" t="n"/>
      <c r="P63" s="56">
        <f>I63-O63</f>
        <v/>
      </c>
      <c r="Q63" s="1" t="n"/>
      <c r="R63" s="64" t="n"/>
    </row>
    <row r="64">
      <c r="A64" s="51" t="n"/>
      <c r="B64" s="52" t="n"/>
      <c r="C64" s="53" t="n"/>
      <c r="D64" s="54" t="n"/>
      <c r="E64" s="55" t="n"/>
      <c r="F64" s="56">
        <f>D64*E64</f>
        <v/>
      </c>
      <c r="G64" s="54" t="n"/>
      <c r="H64" s="55" t="n"/>
      <c r="I64" s="57">
        <f>H64*G64</f>
        <v/>
      </c>
      <c r="J64" s="58">
        <f>IFERROR(I64/$I$104,0)</f>
        <v/>
      </c>
      <c r="K64" s="59" t="n"/>
      <c r="L64" s="60" t="n"/>
      <c r="M64" s="61" t="n"/>
      <c r="N64" s="62" t="n"/>
      <c r="O64" s="63" t="n"/>
      <c r="P64" s="56">
        <f>I64-O64</f>
        <v/>
      </c>
      <c r="Q64" s="1" t="n"/>
      <c r="R64" s="64" t="n"/>
    </row>
    <row r="65">
      <c r="A65" s="51" t="n"/>
      <c r="B65" s="52" t="n"/>
      <c r="C65" s="53" t="n"/>
      <c r="D65" s="54" t="n"/>
      <c r="E65" s="55" t="n"/>
      <c r="F65" s="56">
        <f>D65*E65</f>
        <v/>
      </c>
      <c r="G65" s="54" t="n"/>
      <c r="H65" s="55" t="n"/>
      <c r="I65" s="57">
        <f>H65*G65</f>
        <v/>
      </c>
      <c r="J65" s="58">
        <f>IFERROR(I65/$I$104,0)</f>
        <v/>
      </c>
      <c r="K65" s="59" t="n"/>
      <c r="L65" s="60" t="n"/>
      <c r="M65" s="61" t="n"/>
      <c r="N65" s="62" t="n"/>
      <c r="O65" s="63" t="n"/>
      <c r="P65" s="56">
        <f>I65-O65</f>
        <v/>
      </c>
      <c r="Q65" s="1" t="n"/>
      <c r="R65" s="64" t="n"/>
    </row>
    <row r="66">
      <c r="A66" s="51" t="n"/>
      <c r="B66" s="52" t="n"/>
      <c r="C66" s="53" t="n"/>
      <c r="D66" s="54" t="n"/>
      <c r="E66" s="55" t="n"/>
      <c r="F66" s="56">
        <f>D66*E66</f>
        <v/>
      </c>
      <c r="G66" s="54" t="n"/>
      <c r="H66" s="55" t="n"/>
      <c r="I66" s="57">
        <f>H66*G66</f>
        <v/>
      </c>
      <c r="J66" s="58">
        <f>IFERROR(I66/$I$104,0)</f>
        <v/>
      </c>
      <c r="K66" s="59" t="n"/>
      <c r="L66" s="60" t="n"/>
      <c r="M66" s="61" t="n"/>
      <c r="N66" s="62" t="n"/>
      <c r="O66" s="63" t="n"/>
      <c r="P66" s="56">
        <f>I66-O66</f>
        <v/>
      </c>
      <c r="Q66" s="1" t="n"/>
      <c r="R66" s="64" t="n"/>
    </row>
    <row r="67">
      <c r="A67" s="1" t="n"/>
      <c r="B67" s="65" t="inlineStr">
        <is>
          <t>Subtotal Hopper</t>
        </is>
      </c>
      <c r="C67" s="66" t="n"/>
      <c r="D67" s="66" t="n"/>
      <c r="E67" s="67" t="n"/>
      <c r="F67" s="68">
        <f>SUBTOTAL(9,F62:F66)</f>
        <v/>
      </c>
      <c r="G67" s="66" t="n"/>
      <c r="H67" s="69">
        <f>SUBTOTAL(9,H62:H66)</f>
        <v/>
      </c>
      <c r="I67" s="70">
        <f>SUBTOTAL(9,I62:I66)</f>
        <v/>
      </c>
      <c r="J67" s="58">
        <f>IFERROR(I67/$I$104,0)</f>
        <v/>
      </c>
      <c r="K67" s="71" t="n"/>
      <c r="L67" s="72">
        <f>SUBTOTAL(9,L62:L66)</f>
        <v/>
      </c>
      <c r="M67" s="73">
        <f>SUBTOTAL(9,M62:M66)</f>
        <v/>
      </c>
      <c r="N67" s="72">
        <f>SUBTOTAL(9,N62:N66)</f>
        <v/>
      </c>
      <c r="O67" s="73">
        <f>SUBTOTAL(9,O62:O66)</f>
        <v/>
      </c>
      <c r="P67" s="68">
        <f>SUBTOTAL(9,P62:P66)</f>
        <v/>
      </c>
      <c r="Q67" s="1" t="n"/>
      <c r="R67" s="1" t="n"/>
    </row>
    <row r="68">
      <c r="A68" s="51" t="n"/>
      <c r="B68" s="52" t="n"/>
      <c r="C68" s="53" t="n"/>
      <c r="D68" s="54" t="n"/>
      <c r="E68" s="55" t="n"/>
      <c r="F68" s="56">
        <f>D68*E68</f>
        <v/>
      </c>
      <c r="G68" s="54" t="n"/>
      <c r="H68" s="55" t="n"/>
      <c r="I68" s="57">
        <f>H68*G68</f>
        <v/>
      </c>
      <c r="J68" s="58">
        <f>IFERROR(I68/$I$104,0)</f>
        <v/>
      </c>
      <c r="K68" s="59" t="n"/>
      <c r="L68" s="60" t="n"/>
      <c r="M68" s="61" t="n"/>
      <c r="N68" s="62" t="n"/>
      <c r="O68" s="63" t="n"/>
      <c r="P68" s="56">
        <f>I68-O68</f>
        <v/>
      </c>
      <c r="Q68" s="1" t="n"/>
      <c r="R68" s="64" t="n"/>
    </row>
    <row r="69">
      <c r="A69" s="51" t="n"/>
      <c r="B69" s="52" t="n"/>
      <c r="C69" s="53" t="n"/>
      <c r="D69" s="54" t="n"/>
      <c r="E69" s="55" t="n"/>
      <c r="F69" s="56">
        <f>D69*E69</f>
        <v/>
      </c>
      <c r="G69" s="54" t="n"/>
      <c r="H69" s="55" t="n"/>
      <c r="I69" s="57">
        <f>H69*G69</f>
        <v/>
      </c>
      <c r="J69" s="58">
        <f>IFERROR(I69/$I$104,0)</f>
        <v/>
      </c>
      <c r="K69" s="59" t="n"/>
      <c r="L69" s="60" t="n"/>
      <c r="M69" s="61" t="n"/>
      <c r="N69" s="62" t="n"/>
      <c r="O69" s="63" t="n"/>
      <c r="P69" s="56">
        <f>I69-O69</f>
        <v/>
      </c>
      <c r="Q69" s="1" t="n"/>
      <c r="R69" s="64" t="n"/>
    </row>
    <row r="70">
      <c r="A70" s="51" t="n"/>
      <c r="B70" s="52" t="n"/>
      <c r="C70" s="53" t="n"/>
      <c r="D70" s="54" t="n"/>
      <c r="E70" s="55" t="n"/>
      <c r="F70" s="56">
        <f>D70*E70</f>
        <v/>
      </c>
      <c r="G70" s="54" t="n"/>
      <c r="H70" s="55" t="n"/>
      <c r="I70" s="57">
        <f>H70*G70</f>
        <v/>
      </c>
      <c r="J70" s="58">
        <f>IFERROR(I70/$I$104,0)</f>
        <v/>
      </c>
      <c r="K70" s="59" t="n"/>
      <c r="L70" s="60" t="n"/>
      <c r="M70" s="61" t="n"/>
      <c r="N70" s="62" t="n"/>
      <c r="O70" s="63" t="n"/>
      <c r="P70" s="56">
        <f>I70-O70</f>
        <v/>
      </c>
      <c r="Q70" s="1" t="n"/>
      <c r="R70" s="64" t="n"/>
    </row>
    <row r="71">
      <c r="A71" s="51" t="n"/>
      <c r="B71" s="52" t="n"/>
      <c r="C71" s="53" t="n"/>
      <c r="D71" s="54" t="n"/>
      <c r="E71" s="55" t="n"/>
      <c r="F71" s="56">
        <f>D71*E71</f>
        <v/>
      </c>
      <c r="G71" s="54" t="n"/>
      <c r="H71" s="55" t="n"/>
      <c r="I71" s="57">
        <f>H71*G71</f>
        <v/>
      </c>
      <c r="J71" s="58">
        <f>IFERROR(I71/$I$104,0)</f>
        <v/>
      </c>
      <c r="K71" s="59" t="n"/>
      <c r="L71" s="60" t="n"/>
      <c r="M71" s="61" t="n"/>
      <c r="N71" s="62" t="n"/>
      <c r="O71" s="63" t="n"/>
      <c r="P71" s="56">
        <f>I71-O71</f>
        <v/>
      </c>
      <c r="Q71" s="1" t="n"/>
      <c r="R71" s="64" t="n"/>
    </row>
    <row r="72">
      <c r="A72" s="51" t="n"/>
      <c r="B72" s="52" t="n"/>
      <c r="C72" s="53" t="n"/>
      <c r="D72" s="54" t="n"/>
      <c r="E72" s="55" t="n"/>
      <c r="F72" s="56">
        <f>D72*E72</f>
        <v/>
      </c>
      <c r="G72" s="54" t="n"/>
      <c r="H72" s="55" t="n"/>
      <c r="I72" s="57">
        <f>H72*G72</f>
        <v/>
      </c>
      <c r="J72" s="58">
        <f>IFERROR(I72/$I$104,0)</f>
        <v/>
      </c>
      <c r="K72" s="59" t="n"/>
      <c r="L72" s="60" t="n"/>
      <c r="M72" s="61" t="n"/>
      <c r="N72" s="62" t="n"/>
      <c r="O72" s="63" t="n"/>
      <c r="P72" s="56">
        <f>I72-O72</f>
        <v/>
      </c>
      <c r="Q72" s="1" t="n"/>
      <c r="R72" s="64" t="n"/>
    </row>
    <row r="73">
      <c r="A73" s="1" t="n"/>
      <c r="B73" s="65" t="inlineStr">
        <is>
          <t>Subtotal Propellers and tailshafts</t>
        </is>
      </c>
      <c r="C73" s="66" t="n"/>
      <c r="D73" s="66" t="n"/>
      <c r="E73" s="67" t="n"/>
      <c r="F73" s="68">
        <f>SUBTOTAL(9,F68:F72)</f>
        <v/>
      </c>
      <c r="G73" s="66" t="n"/>
      <c r="H73" s="69">
        <f>SUBTOTAL(9,H68:H72)</f>
        <v/>
      </c>
      <c r="I73" s="70">
        <f>SUBTOTAL(9,I68:I72)</f>
        <v/>
      </c>
      <c r="J73" s="58">
        <f>IFERROR(I73/$I$104,0)</f>
        <v/>
      </c>
      <c r="K73" s="71" t="n"/>
      <c r="L73" s="72">
        <f>SUBTOTAL(9,L68:L72)</f>
        <v/>
      </c>
      <c r="M73" s="73">
        <f>SUBTOTAL(9,M68:M72)</f>
        <v/>
      </c>
      <c r="N73" s="72">
        <f>SUBTOTAL(9,N68:N72)</f>
        <v/>
      </c>
      <c r="O73" s="73">
        <f>SUBTOTAL(9,O68:O72)</f>
        <v/>
      </c>
      <c r="P73" s="68">
        <f>SUBTOTAL(9,P68:P72)</f>
        <v/>
      </c>
      <c r="Q73" s="1" t="n"/>
      <c r="R73" s="1" t="n"/>
    </row>
    <row r="74">
      <c r="A74" s="51" t="n"/>
      <c r="B74" s="52" t="n"/>
      <c r="C74" s="53" t="n"/>
      <c r="D74" s="54" t="n"/>
      <c r="E74" s="55" t="n"/>
      <c r="F74" s="56">
        <f>D74*E74</f>
        <v/>
      </c>
      <c r="G74" s="54" t="n"/>
      <c r="H74" s="55" t="n"/>
      <c r="I74" s="57">
        <f>H74*G74</f>
        <v/>
      </c>
      <c r="J74" s="58">
        <f>IFERROR(I74/$I$104,0)</f>
        <v/>
      </c>
      <c r="K74" s="59" t="n"/>
      <c r="L74" s="60" t="n"/>
      <c r="M74" s="61" t="n"/>
      <c r="N74" s="62" t="n"/>
      <c r="O74" s="63" t="n"/>
      <c r="P74" s="56">
        <f>I74-O74</f>
        <v/>
      </c>
      <c r="Q74" s="1" t="n"/>
      <c r="R74" s="64" t="n"/>
    </row>
    <row r="75">
      <c r="A75" s="51" t="n"/>
      <c r="B75" s="52" t="n"/>
      <c r="C75" s="53" t="n"/>
      <c r="D75" s="54" t="n"/>
      <c r="E75" s="55" t="n"/>
      <c r="F75" s="56">
        <f>D75*E75</f>
        <v/>
      </c>
      <c r="G75" s="54" t="n"/>
      <c r="H75" s="55" t="n"/>
      <c r="I75" s="57">
        <f>H75*G75</f>
        <v/>
      </c>
      <c r="J75" s="58">
        <f>IFERROR(I75/$I$104,0)</f>
        <v/>
      </c>
      <c r="K75" s="59" t="n"/>
      <c r="L75" s="60" t="n"/>
      <c r="M75" s="61" t="n"/>
      <c r="N75" s="62" t="n"/>
      <c r="O75" s="63" t="n"/>
      <c r="P75" s="56">
        <f>I75-O75</f>
        <v/>
      </c>
      <c r="Q75" s="1" t="n"/>
      <c r="R75" s="64" t="n"/>
    </row>
    <row r="76">
      <c r="A76" s="51" t="n"/>
      <c r="B76" s="52" t="n"/>
      <c r="C76" s="53" t="n"/>
      <c r="D76" s="54" t="n"/>
      <c r="E76" s="55" t="n"/>
      <c r="F76" s="56">
        <f>D76*E76</f>
        <v/>
      </c>
      <c r="G76" s="54" t="n"/>
      <c r="H76" s="55" t="n"/>
      <c r="I76" s="57">
        <f>H76*G76</f>
        <v/>
      </c>
      <c r="J76" s="58">
        <f>IFERROR(I76/$I$104,0)</f>
        <v/>
      </c>
      <c r="K76" s="59" t="n"/>
      <c r="L76" s="60" t="n"/>
      <c r="M76" s="61" t="n"/>
      <c r="N76" s="62" t="n"/>
      <c r="O76" s="63" t="n"/>
      <c r="P76" s="56">
        <f>I76-O76</f>
        <v/>
      </c>
      <c r="Q76" s="1" t="n"/>
      <c r="R76" s="64" t="n"/>
    </row>
    <row r="77">
      <c r="A77" s="51" t="n"/>
      <c r="B77" s="52" t="n"/>
      <c r="C77" s="53" t="n"/>
      <c r="D77" s="54" t="n"/>
      <c r="E77" s="55" t="n"/>
      <c r="F77" s="56">
        <f>D77*E77</f>
        <v/>
      </c>
      <c r="G77" s="54" t="n"/>
      <c r="H77" s="55" t="n"/>
      <c r="I77" s="57">
        <f>H77*G77</f>
        <v/>
      </c>
      <c r="J77" s="58">
        <f>IFERROR(I77/$I$104,0)</f>
        <v/>
      </c>
      <c r="K77" s="59" t="n"/>
      <c r="L77" s="60" t="n"/>
      <c r="M77" s="61" t="n"/>
      <c r="N77" s="62" t="n"/>
      <c r="O77" s="63" t="n"/>
      <c r="P77" s="56">
        <f>I77-O77</f>
        <v/>
      </c>
      <c r="Q77" s="1" t="n"/>
      <c r="R77" s="64" t="n"/>
    </row>
    <row r="78">
      <c r="A78" s="51" t="n"/>
      <c r="B78" s="52" t="n"/>
      <c r="C78" s="53" t="n"/>
      <c r="D78" s="54" t="n"/>
      <c r="E78" s="55" t="n"/>
      <c r="F78" s="56">
        <f>D78*E78</f>
        <v/>
      </c>
      <c r="G78" s="54" t="n"/>
      <c r="H78" s="55" t="n"/>
      <c r="I78" s="57">
        <f>H78*G78</f>
        <v/>
      </c>
      <c r="J78" s="58">
        <f>IFERROR(I78/$I$104,0)</f>
        <v/>
      </c>
      <c r="K78" s="59" t="n"/>
      <c r="L78" s="60" t="n"/>
      <c r="M78" s="61" t="n"/>
      <c r="N78" s="62" t="n"/>
      <c r="O78" s="63" t="n"/>
      <c r="P78" s="56">
        <f>I78-O78</f>
        <v/>
      </c>
      <c r="Q78" s="1" t="n"/>
      <c r="R78" s="64" t="n"/>
    </row>
    <row r="79">
      <c r="A79" s="1" t="n"/>
      <c r="B79" s="65" t="inlineStr">
        <is>
          <t>Subtotal Engines</t>
        </is>
      </c>
      <c r="C79" s="66" t="n"/>
      <c r="D79" s="66" t="n"/>
      <c r="E79" s="67" t="n"/>
      <c r="F79" s="68">
        <f>SUBTOTAL(9,F74:F78)</f>
        <v/>
      </c>
      <c r="G79" s="66" t="n"/>
      <c r="H79" s="69">
        <f>SUBTOTAL(9,H74:H78)</f>
        <v/>
      </c>
      <c r="I79" s="70">
        <f>SUBTOTAL(9,I74:I78)</f>
        <v/>
      </c>
      <c r="J79" s="58">
        <f>IFERROR(I79/$I$104,0)</f>
        <v/>
      </c>
      <c r="K79" s="71" t="n"/>
      <c r="L79" s="72">
        <f>SUBTOTAL(9,L74:L78)</f>
        <v/>
      </c>
      <c r="M79" s="73">
        <f>SUBTOTAL(9,M74:M78)</f>
        <v/>
      </c>
      <c r="N79" s="72">
        <f>SUBTOTAL(9,N74:N78)</f>
        <v/>
      </c>
      <c r="O79" s="73">
        <f>SUBTOTAL(9,O74:O78)</f>
        <v/>
      </c>
      <c r="P79" s="68">
        <f>SUBTOTAL(9,P74:P78)</f>
        <v/>
      </c>
      <c r="Q79" s="1" t="n"/>
      <c r="R79" s="1" t="n"/>
    </row>
    <row r="80">
      <c r="A80" s="51" t="n"/>
      <c r="B80" s="52" t="n"/>
      <c r="C80" s="53" t="n"/>
      <c r="D80" s="54" t="n"/>
      <c r="E80" s="55" t="n"/>
      <c r="F80" s="56">
        <f>D80*E80</f>
        <v/>
      </c>
      <c r="G80" s="54" t="n"/>
      <c r="H80" s="55" t="n"/>
      <c r="I80" s="57">
        <f>H80*G80</f>
        <v/>
      </c>
      <c r="J80" s="58">
        <f>IFERROR(I80/$I$104,0)</f>
        <v/>
      </c>
      <c r="K80" s="59" t="n"/>
      <c r="L80" s="60" t="n"/>
      <c r="M80" s="61" t="n"/>
      <c r="N80" s="62" t="n"/>
      <c r="O80" s="63" t="n"/>
      <c r="P80" s="56">
        <f>I80-O80</f>
        <v/>
      </c>
      <c r="Q80" s="1" t="n"/>
      <c r="R80" s="64" t="n"/>
    </row>
    <row r="81">
      <c r="A81" s="51" t="n"/>
      <c r="B81" s="52" t="n"/>
      <c r="C81" s="53" t="n"/>
      <c r="D81" s="54" t="n"/>
      <c r="E81" s="55" t="n"/>
      <c r="F81" s="56">
        <f>D81*E81</f>
        <v/>
      </c>
      <c r="G81" s="54" t="n"/>
      <c r="H81" s="55" t="n"/>
      <c r="I81" s="57">
        <f>H81*G81</f>
        <v/>
      </c>
      <c r="J81" s="58">
        <f>IFERROR(I81/$I$104,0)</f>
        <v/>
      </c>
      <c r="K81" s="59" t="n"/>
      <c r="L81" s="60" t="n"/>
      <c r="M81" s="61" t="n"/>
      <c r="N81" s="62" t="n"/>
      <c r="O81" s="63" t="n"/>
      <c r="P81" s="56">
        <f>I81-O81</f>
        <v/>
      </c>
      <c r="Q81" s="1" t="n"/>
      <c r="R81" s="64" t="n"/>
    </row>
    <row r="82">
      <c r="A82" s="51" t="n"/>
      <c r="B82" s="52" t="n"/>
      <c r="C82" s="53" t="n"/>
      <c r="D82" s="54" t="n"/>
      <c r="E82" s="55" t="n"/>
      <c r="F82" s="56">
        <f>D82*E82</f>
        <v/>
      </c>
      <c r="G82" s="54" t="n"/>
      <c r="H82" s="55" t="n"/>
      <c r="I82" s="57">
        <f>H82*G82</f>
        <v/>
      </c>
      <c r="J82" s="58">
        <f>IFERROR(I82/$I$104,0)</f>
        <v/>
      </c>
      <c r="K82" s="59" t="n"/>
      <c r="L82" s="60" t="n"/>
      <c r="M82" s="61" t="n"/>
      <c r="N82" s="62" t="n"/>
      <c r="O82" s="63" t="n"/>
      <c r="P82" s="56">
        <f>I82-O82</f>
        <v/>
      </c>
      <c r="Q82" s="1" t="n"/>
      <c r="R82" s="64" t="n"/>
    </row>
    <row r="83">
      <c r="A83" s="51" t="n"/>
      <c r="B83" s="52" t="n"/>
      <c r="C83" s="53" t="n"/>
      <c r="D83" s="54" t="n"/>
      <c r="E83" s="55" t="n"/>
      <c r="F83" s="56">
        <f>D83*E83</f>
        <v/>
      </c>
      <c r="G83" s="54" t="n"/>
      <c r="H83" s="55" t="n"/>
      <c r="I83" s="57">
        <f>H83*G83</f>
        <v/>
      </c>
      <c r="J83" s="58">
        <f>IFERROR(I83/$I$104,0)</f>
        <v/>
      </c>
      <c r="K83" s="59" t="n"/>
      <c r="L83" s="60" t="n"/>
      <c r="M83" s="61" t="n"/>
      <c r="N83" s="62" t="n"/>
      <c r="O83" s="63" t="n"/>
      <c r="P83" s="56">
        <f>I83-O83</f>
        <v/>
      </c>
      <c r="Q83" s="1" t="n"/>
      <c r="R83" s="64" t="n"/>
    </row>
    <row r="84">
      <c r="A84" s="51" t="n"/>
      <c r="B84" s="52" t="n"/>
      <c r="C84" s="53" t="n"/>
      <c r="D84" s="54" t="n"/>
      <c r="E84" s="55" t="n"/>
      <c r="F84" s="56">
        <f>D84*E84</f>
        <v/>
      </c>
      <c r="G84" s="54" t="n"/>
      <c r="H84" s="55" t="n"/>
      <c r="I84" s="57">
        <f>H84*G84</f>
        <v/>
      </c>
      <c r="J84" s="58">
        <f>IFERROR(I84/$I$104,0)</f>
        <v/>
      </c>
      <c r="K84" s="59" t="n"/>
      <c r="L84" s="60" t="n"/>
      <c r="M84" s="61" t="n"/>
      <c r="N84" s="62" t="n"/>
      <c r="O84" s="63" t="n"/>
      <c r="P84" s="56">
        <f>I84-O84</f>
        <v/>
      </c>
      <c r="Q84" s="1" t="n"/>
      <c r="R84" s="64" t="n"/>
    </row>
    <row r="85">
      <c r="A85" s="1" t="n"/>
      <c r="B85" s="65" t="inlineStr">
        <is>
          <t>Subtotal Auxiliaries</t>
        </is>
      </c>
      <c r="C85" s="66" t="n"/>
      <c r="D85" s="66" t="n"/>
      <c r="E85" s="67" t="n"/>
      <c r="F85" s="68">
        <f>SUBTOTAL(9,F80:F84)</f>
        <v/>
      </c>
      <c r="G85" s="66" t="n"/>
      <c r="H85" s="69">
        <f>SUBTOTAL(9,H80:H84)</f>
        <v/>
      </c>
      <c r="I85" s="70">
        <f>SUBTOTAL(9,I80:I84)</f>
        <v/>
      </c>
      <c r="J85" s="58">
        <f>IFERROR(I85/$I$104,0)</f>
        <v/>
      </c>
      <c r="K85" s="71" t="n"/>
      <c r="L85" s="72">
        <f>SUBTOTAL(9,L80:L84)</f>
        <v/>
      </c>
      <c r="M85" s="73">
        <f>SUBTOTAL(9,M80:M84)</f>
        <v/>
      </c>
      <c r="N85" s="72">
        <f>SUBTOTAL(9,N80:N84)</f>
        <v/>
      </c>
      <c r="O85" s="73">
        <f>SUBTOTAL(9,O80:O84)</f>
        <v/>
      </c>
      <c r="P85" s="68">
        <f>SUBTOTAL(9,P80:P84)</f>
        <v/>
      </c>
      <c r="Q85" s="1" t="n"/>
      <c r="R85" s="1" t="n"/>
    </row>
    <row r="86">
      <c r="A86" s="51" t="n"/>
      <c r="B86" s="52" t="n"/>
      <c r="C86" s="53" t="n"/>
      <c r="D86" s="54" t="n"/>
      <c r="E86" s="55" t="n"/>
      <c r="F86" s="56">
        <f>D86*E86</f>
        <v/>
      </c>
      <c r="G86" s="54" t="n"/>
      <c r="H86" s="55" t="n"/>
      <c r="I86" s="57">
        <f>H86*G86</f>
        <v/>
      </c>
      <c r="J86" s="58">
        <f>IFERROR(I86/$I$104,0)</f>
        <v/>
      </c>
      <c r="K86" s="59" t="n"/>
      <c r="L86" s="60" t="n"/>
      <c r="M86" s="61" t="n"/>
      <c r="N86" s="62" t="n"/>
      <c r="O86" s="63" t="n"/>
      <c r="P86" s="56">
        <f>I86-O86</f>
        <v/>
      </c>
      <c r="Q86" s="1" t="n"/>
      <c r="R86" s="64" t="n"/>
    </row>
    <row r="87">
      <c r="A87" s="51" t="n"/>
      <c r="B87" s="52" t="n"/>
      <c r="C87" s="53" t="n"/>
      <c r="D87" s="54" t="n"/>
      <c r="E87" s="55" t="n"/>
      <c r="F87" s="56">
        <f>D87*E87</f>
        <v/>
      </c>
      <c r="G87" s="54" t="n"/>
      <c r="H87" s="55" t="n"/>
      <c r="I87" s="57">
        <f>H87*G87</f>
        <v/>
      </c>
      <c r="J87" s="58">
        <f>IFERROR(I87/$I$104,0)</f>
        <v/>
      </c>
      <c r="K87" s="59" t="n"/>
      <c r="L87" s="60" t="n"/>
      <c r="M87" s="61" t="n"/>
      <c r="N87" s="62" t="n"/>
      <c r="O87" s="63" t="n"/>
      <c r="P87" s="56">
        <f>I87-O87</f>
        <v/>
      </c>
      <c r="Q87" s="1" t="n"/>
      <c r="R87" s="64" t="n"/>
    </row>
    <row r="88">
      <c r="A88" s="51" t="n"/>
      <c r="B88" s="52" t="n"/>
      <c r="C88" s="53" t="n"/>
      <c r="D88" s="54" t="n"/>
      <c r="E88" s="55" t="n"/>
      <c r="F88" s="56">
        <f>D88*E88</f>
        <v/>
      </c>
      <c r="G88" s="54" t="n"/>
      <c r="H88" s="55" t="n"/>
      <c r="I88" s="57">
        <f>H88*G88</f>
        <v/>
      </c>
      <c r="J88" s="58">
        <f>IFERROR(I88/$I$104,0)</f>
        <v/>
      </c>
      <c r="K88" s="59" t="n"/>
      <c r="L88" s="60" t="n"/>
      <c r="M88" s="61" t="n"/>
      <c r="N88" s="62" t="n"/>
      <c r="O88" s="63" t="n"/>
      <c r="P88" s="56">
        <f>I88-O88</f>
        <v/>
      </c>
      <c r="Q88" s="1" t="n"/>
      <c r="R88" s="64" t="n"/>
    </row>
    <row r="89">
      <c r="A89" s="51" t="n"/>
      <c r="B89" s="52" t="n"/>
      <c r="C89" s="53" t="n"/>
      <c r="D89" s="54" t="n"/>
      <c r="E89" s="55" t="n"/>
      <c r="F89" s="56">
        <f>D89*E89</f>
        <v/>
      </c>
      <c r="G89" s="54" t="n"/>
      <c r="H89" s="55" t="n"/>
      <c r="I89" s="57">
        <f>H89*G89</f>
        <v/>
      </c>
      <c r="J89" s="58">
        <f>IFERROR(I89/$I$104,0)</f>
        <v/>
      </c>
      <c r="K89" s="59" t="n"/>
      <c r="L89" s="60" t="n"/>
      <c r="M89" s="61" t="n"/>
      <c r="N89" s="62" t="n"/>
      <c r="O89" s="63" t="n"/>
      <c r="P89" s="56">
        <f>I89-O89</f>
        <v/>
      </c>
      <c r="Q89" s="1" t="n"/>
      <c r="R89" s="64" t="n"/>
    </row>
    <row r="90">
      <c r="A90" s="51" t="n"/>
      <c r="B90" s="52" t="n"/>
      <c r="C90" s="53" t="n"/>
      <c r="D90" s="54" t="n"/>
      <c r="E90" s="55" t="n"/>
      <c r="F90" s="56">
        <f>D90*E90</f>
        <v/>
      </c>
      <c r="G90" s="54" t="n"/>
      <c r="H90" s="55" t="n"/>
      <c r="I90" s="57">
        <f>H90*G90</f>
        <v/>
      </c>
      <c r="J90" s="58">
        <f>IFERROR(I90/$I$104,0)</f>
        <v/>
      </c>
      <c r="K90" s="59" t="n"/>
      <c r="L90" s="60" t="n"/>
      <c r="M90" s="61" t="n"/>
      <c r="N90" s="62" t="n"/>
      <c r="O90" s="63" t="n"/>
      <c r="P90" s="56">
        <f>I90-O90</f>
        <v/>
      </c>
      <c r="Q90" s="1" t="n"/>
      <c r="R90" s="64" t="n"/>
    </row>
    <row r="91">
      <c r="A91" s="1" t="n"/>
      <c r="B91" s="65" t="inlineStr">
        <is>
          <t>Subtotal Anchors and chains</t>
        </is>
      </c>
      <c r="C91" s="66" t="n"/>
      <c r="D91" s="66" t="n"/>
      <c r="E91" s="67" t="n"/>
      <c r="F91" s="68">
        <f>SUBTOTAL(9,F86:F90)</f>
        <v/>
      </c>
      <c r="G91" s="66" t="n"/>
      <c r="H91" s="69">
        <f>SUBTOTAL(9,H86:H90)</f>
        <v/>
      </c>
      <c r="I91" s="70">
        <f>SUBTOTAL(9,I86:I90)</f>
        <v/>
      </c>
      <c r="J91" s="58">
        <f>IFERROR(I91/$I$104,0)</f>
        <v/>
      </c>
      <c r="K91" s="71" t="n"/>
      <c r="L91" s="72">
        <f>SUBTOTAL(9,L86:L90)</f>
        <v/>
      </c>
      <c r="M91" s="73">
        <f>SUBTOTAL(9,M86:M90)</f>
        <v/>
      </c>
      <c r="N91" s="72">
        <f>SUBTOTAL(9,N86:N90)</f>
        <v/>
      </c>
      <c r="O91" s="73">
        <f>SUBTOTAL(9,O86:O90)</f>
        <v/>
      </c>
      <c r="P91" s="68">
        <f>SUBTOTAL(9,P86:P90)</f>
        <v/>
      </c>
      <c r="Q91" s="1" t="n"/>
      <c r="R91" s="1" t="n"/>
    </row>
    <row r="92">
      <c r="A92" s="51" t="n"/>
      <c r="B92" s="52" t="n"/>
      <c r="C92" s="53" t="n"/>
      <c r="D92" s="54" t="n"/>
      <c r="E92" s="55" t="n"/>
      <c r="F92" s="56">
        <f>D92*E92</f>
        <v/>
      </c>
      <c r="G92" s="54" t="n"/>
      <c r="H92" s="55" t="n"/>
      <c r="I92" s="57">
        <f>H92*G92</f>
        <v/>
      </c>
      <c r="J92" s="58">
        <f>IFERROR(I92/$I$104,0)</f>
        <v/>
      </c>
      <c r="K92" s="59" t="n"/>
      <c r="L92" s="60" t="n"/>
      <c r="M92" s="61" t="n"/>
      <c r="N92" s="62" t="n"/>
      <c r="O92" s="63" t="n"/>
      <c r="P92" s="56">
        <f>I92-O92</f>
        <v/>
      </c>
      <c r="Q92" s="1" t="n"/>
      <c r="R92" s="64" t="n"/>
    </row>
    <row r="93">
      <c r="A93" s="51" t="n"/>
      <c r="B93" s="52" t="n"/>
      <c r="C93" s="53" t="n"/>
      <c r="D93" s="54" t="n"/>
      <c r="E93" s="55" t="n"/>
      <c r="F93" s="56">
        <f>D93*E93</f>
        <v/>
      </c>
      <c r="G93" s="54" t="n"/>
      <c r="H93" s="55" t="n"/>
      <c r="I93" s="57">
        <f>H93*G93</f>
        <v/>
      </c>
      <c r="J93" s="58">
        <f>IFERROR(I93/$I$104,0)</f>
        <v/>
      </c>
      <c r="K93" s="59" t="n"/>
      <c r="L93" s="60" t="n"/>
      <c r="M93" s="61" t="n"/>
      <c r="N93" s="62" t="n"/>
      <c r="O93" s="63" t="n"/>
      <c r="P93" s="56">
        <f>I93-O93</f>
        <v/>
      </c>
      <c r="Q93" s="1" t="n"/>
      <c r="R93" s="64" t="n"/>
    </row>
    <row r="94">
      <c r="A94" s="51" t="n"/>
      <c r="B94" s="52" t="n"/>
      <c r="C94" s="53" t="n"/>
      <c r="D94" s="54" t="n"/>
      <c r="E94" s="55" t="n"/>
      <c r="F94" s="56">
        <f>D94*E94</f>
        <v/>
      </c>
      <c r="G94" s="54" t="n"/>
      <c r="H94" s="55" t="n"/>
      <c r="I94" s="57">
        <f>H94*G94</f>
        <v/>
      </c>
      <c r="J94" s="58">
        <f>IFERROR(I94/$I$104,0)</f>
        <v/>
      </c>
      <c r="K94" s="59" t="n"/>
      <c r="L94" s="60" t="n"/>
      <c r="M94" s="61" t="n"/>
      <c r="N94" s="62" t="n"/>
      <c r="O94" s="63" t="n"/>
      <c r="P94" s="56">
        <f>I94-O94</f>
        <v/>
      </c>
      <c r="Q94" s="1" t="n"/>
      <c r="R94" s="64" t="n"/>
    </row>
    <row r="95">
      <c r="A95" s="51" t="n"/>
      <c r="B95" s="52" t="n"/>
      <c r="C95" s="53" t="n"/>
      <c r="D95" s="54" t="n"/>
      <c r="E95" s="55" t="n"/>
      <c r="F95" s="56">
        <f>D95*E95</f>
        <v/>
      </c>
      <c r="G95" s="54" t="n"/>
      <c r="H95" s="55" t="n"/>
      <c r="I95" s="57">
        <f>H95*G95</f>
        <v/>
      </c>
      <c r="J95" s="58">
        <f>IFERROR(I95/$I$104,0)</f>
        <v/>
      </c>
      <c r="K95" s="59" t="n"/>
      <c r="L95" s="60" t="n"/>
      <c r="M95" s="61" t="n"/>
      <c r="N95" s="62" t="n"/>
      <c r="O95" s="63" t="n"/>
      <c r="P95" s="56">
        <f>I95-O95</f>
        <v/>
      </c>
      <c r="Q95" s="1" t="n"/>
      <c r="R95" s="64" t="n"/>
    </row>
    <row r="96">
      <c r="A96" s="51" t="n"/>
      <c r="B96" s="52" t="n"/>
      <c r="C96" s="53" t="n"/>
      <c r="D96" s="54" t="n"/>
      <c r="E96" s="55" t="n"/>
      <c r="F96" s="56">
        <f>D96*E96</f>
        <v/>
      </c>
      <c r="G96" s="54" t="n"/>
      <c r="H96" s="55" t="n"/>
      <c r="I96" s="57">
        <f>H96*G96</f>
        <v/>
      </c>
      <c r="J96" s="58">
        <f>IFERROR(I96/$I$104,0)</f>
        <v/>
      </c>
      <c r="K96" s="59" t="n"/>
      <c r="L96" s="60" t="n"/>
      <c r="M96" s="61" t="n"/>
      <c r="N96" s="62" t="n"/>
      <c r="O96" s="63" t="n"/>
      <c r="P96" s="56">
        <f>I96-O96</f>
        <v/>
      </c>
      <c r="Q96" s="1" t="n"/>
      <c r="R96" s="64" t="n"/>
    </row>
    <row r="97">
      <c r="A97" s="1" t="n"/>
      <c r="B97" s="65" t="inlineStr">
        <is>
          <t>Subtotal Miscellaneous</t>
        </is>
      </c>
      <c r="C97" s="66" t="n"/>
      <c r="D97" s="66" t="n"/>
      <c r="E97" s="67" t="n"/>
      <c r="F97" s="68">
        <f>SUBTOTAL(9,F92:F96)</f>
        <v/>
      </c>
      <c r="G97" s="66" t="n"/>
      <c r="H97" s="69">
        <f>SUBTOTAL(9,H92:H96)</f>
        <v/>
      </c>
      <c r="I97" s="70">
        <f>SUBTOTAL(9,I92:I96)</f>
        <v/>
      </c>
      <c r="J97" s="58">
        <f>IFERROR(I97/$I$104,0)</f>
        <v/>
      </c>
      <c r="K97" s="71" t="n"/>
      <c r="L97" s="72">
        <f>SUBTOTAL(9,L92:L96)</f>
        <v/>
      </c>
      <c r="M97" s="73">
        <f>SUBTOTAL(9,M92:M96)</f>
        <v/>
      </c>
      <c r="N97" s="72">
        <f>SUBTOTAL(9,N92:N96)</f>
        <v/>
      </c>
      <c r="O97" s="73">
        <f>SUBTOTAL(9,O92:O96)</f>
        <v/>
      </c>
      <c r="P97" s="68">
        <f>SUBTOTAL(9,P92:P96)</f>
        <v/>
      </c>
      <c r="Q97" s="1" t="n"/>
      <c r="R97" s="1" t="n"/>
    </row>
    <row r="98">
      <c r="A98" s="1" t="n"/>
      <c r="B98" s="1" t="n"/>
      <c r="C98" s="1" t="n"/>
      <c r="D98" s="1" t="n"/>
      <c r="E98" s="74" t="n"/>
      <c r="F98" s="75" t="n"/>
      <c r="G98" s="1" t="n"/>
      <c r="H98" s="76" t="n"/>
      <c r="I98" s="77" t="n"/>
      <c r="J98" s="78" t="n"/>
      <c r="K98" s="79" t="n"/>
      <c r="L98" s="80" t="n"/>
      <c r="M98" s="81" t="n"/>
      <c r="N98" s="82" t="n"/>
      <c r="O98" s="83" t="n"/>
      <c r="P98" s="84" t="n"/>
      <c r="Q98" s="1" t="n"/>
      <c r="R98" s="1" t="n"/>
      <c r="S98" s="85" t="n"/>
      <c r="T98" s="1" t="n"/>
    </row>
    <row r="99">
      <c r="A99" s="1" t="n"/>
      <c r="B99" s="1" t="n"/>
      <c r="C99" s="1" t="n"/>
      <c r="D99" s="1" t="n"/>
      <c r="E99" s="55" t="n"/>
      <c r="F99" s="86" t="n"/>
      <c r="G99" s="1" t="n"/>
      <c r="H99" s="87" t="n"/>
      <c r="I99" s="88" t="n"/>
      <c r="J99" s="88" t="n"/>
      <c r="K99" s="71" t="n"/>
      <c r="L99" s="60" t="n"/>
      <c r="M99" s="61" t="n"/>
      <c r="N99" s="62" t="n"/>
      <c r="O99" s="89" t="n"/>
      <c r="P99" s="90" t="n"/>
      <c r="Q99" s="1" t="n"/>
      <c r="R99" s="1" t="n"/>
      <c r="S99" s="85" t="n"/>
      <c r="T99" s="1" t="n"/>
    </row>
    <row r="100">
      <c r="A100" s="16" t="n"/>
      <c r="B100" s="1" t="n"/>
      <c r="C100" s="21" t="n"/>
      <c r="D100" s="21" t="n"/>
      <c r="E100" s="55" t="n"/>
      <c r="F100" s="91">
        <f>SUBTOTAL(9,F8:F97)</f>
        <v/>
      </c>
      <c r="G100" s="21" t="n"/>
      <c r="H100" s="92">
        <f>SUBTOTAL(9,H8:H97)</f>
        <v/>
      </c>
      <c r="I100" s="93">
        <f>SUBTOTAL(9,I8:I97)</f>
        <v/>
      </c>
      <c r="J100" s="94" t="n"/>
      <c r="K100" s="71" t="n"/>
      <c r="L100" s="95">
        <f>SUBTOTAL(9,L8:L97)</f>
        <v/>
      </c>
      <c r="M100" s="96">
        <f>SUBTOTAL(9,M8:M97)</f>
        <v/>
      </c>
      <c r="N100" s="97">
        <f>SUBTOTAL(9,N8:N97)</f>
        <v/>
      </c>
      <c r="O100" s="98">
        <f>SUBTOTAL(9,O8:O97)</f>
        <v/>
      </c>
      <c r="P100" s="99">
        <f>SUBTOTAL(9,P8:P97)</f>
        <v/>
      </c>
      <c r="Q100" s="100">
        <f>P100*EUR</f>
        <v/>
      </c>
      <c r="R100" s="1" t="n"/>
      <c r="S100" s="85" t="n"/>
      <c r="T100" s="1" t="n"/>
    </row>
    <row r="101">
      <c r="A101" s="1" t="n"/>
      <c r="B101" s="101" t="inlineStr">
        <is>
          <t>TOTAL WITHOUT DISCOUNT</t>
        </is>
      </c>
      <c r="C101" s="101" t="n"/>
      <c r="D101" s="101" t="n"/>
      <c r="E101" s="102">
        <f>F100*EUR</f>
        <v/>
      </c>
      <c r="F101" s="103" t="n"/>
      <c r="G101" s="101" t="n"/>
      <c r="H101" s="104" t="n"/>
      <c r="I101" s="105" t="n"/>
      <c r="J101" s="16" t="n"/>
      <c r="K101" s="106" t="n"/>
      <c r="L101" s="1" t="n"/>
      <c r="M101" s="1" t="n"/>
      <c r="N101" s="85" t="n"/>
      <c r="O101" s="1" t="n"/>
      <c r="P101" s="107" t="n"/>
      <c r="Q101" s="108" t="n"/>
      <c r="R101" s="1" t="n"/>
      <c r="S101" s="85" t="n"/>
      <c r="T101" s="1" t="n"/>
    </row>
    <row r="102">
      <c r="A102" s="1" t="n"/>
      <c r="B102" s="101" t="inlineStr">
        <is>
          <t>DISCOUNT</t>
        </is>
      </c>
      <c r="C102" s="101" t="n"/>
      <c r="D102" s="101" t="n"/>
      <c r="E102" s="109" t="n"/>
      <c r="F102" s="91">
        <f>F100*E102</f>
        <v/>
      </c>
      <c r="G102" s="101" t="n"/>
      <c r="H102" s="110" t="n"/>
      <c r="I102" s="111">
        <f>I100*H102</f>
        <v/>
      </c>
      <c r="J102" s="94" t="n"/>
      <c r="K102" s="71" t="n"/>
      <c r="L102" s="1" t="n"/>
      <c r="M102" s="85" t="n"/>
      <c r="N102" s="1" t="n"/>
      <c r="O102" s="112" t="n"/>
      <c r="P102" s="99">
        <f>P100*O102</f>
        <v/>
      </c>
      <c r="Q102" s="100">
        <f>P102*EUR</f>
        <v/>
      </c>
      <c r="R102" s="113" t="n"/>
      <c r="S102" s="85" t="n"/>
      <c r="T102" s="1" t="n"/>
    </row>
    <row r="103" ht="13.5" customHeight="1">
      <c r="A103" s="1" t="n"/>
      <c r="B103" s="1" t="n"/>
      <c r="C103" s="1" t="n"/>
      <c r="D103" s="1" t="n"/>
      <c r="E103" s="114">
        <f>F102*EUR</f>
        <v/>
      </c>
      <c r="F103" s="115" t="n"/>
      <c r="G103" s="1" t="n"/>
      <c r="H103" s="116" t="n"/>
      <c r="I103" s="117" t="n"/>
      <c r="J103" s="16" t="n"/>
      <c r="K103" s="118" t="n"/>
      <c r="L103" s="1" t="n"/>
      <c r="M103" s="85" t="n"/>
      <c r="N103" s="85" t="n"/>
      <c r="O103" s="1" t="n"/>
      <c r="P103" s="119" t="n"/>
      <c r="Q103" s="108" t="n"/>
      <c r="R103" s="1" t="n"/>
      <c r="S103" s="85" t="n"/>
      <c r="T103" s="1" t="n"/>
    </row>
    <row r="104" ht="13.5" customHeight="1">
      <c r="A104" s="16" t="n"/>
      <c r="B104" s="120" t="inlineStr">
        <is>
          <t>GRAND TOTAL</t>
        </is>
      </c>
      <c r="C104" s="121" t="n"/>
      <c r="D104" s="121" t="n"/>
      <c r="E104" s="122" t="n"/>
      <c r="F104" s="123">
        <f>F100-F102</f>
        <v/>
      </c>
      <c r="G104" s="121" t="n"/>
      <c r="H104" s="124" t="n"/>
      <c r="I104" s="125">
        <f>I100-I102</f>
        <v/>
      </c>
      <c r="J104" s="126" t="n"/>
      <c r="K104" s="127" t="n"/>
      <c r="L104" s="1" t="n"/>
      <c r="M104" s="85" t="n"/>
      <c r="N104" s="1" t="n"/>
      <c r="O104" s="1" t="n"/>
      <c r="P104" s="128">
        <f>P100-P102</f>
        <v/>
      </c>
      <c r="Q104" s="129" t="n"/>
      <c r="R104" s="85" t="n"/>
      <c r="S104" s="85" t="n"/>
      <c r="T104" s="1" t="n"/>
    </row>
    <row r="105" ht="13.5" customHeight="1">
      <c r="A105" s="16" t="n"/>
      <c r="B105" s="130" t="n"/>
      <c r="C105" s="131" t="n"/>
      <c r="D105" s="131" t="n"/>
      <c r="E105" s="132">
        <f>F104*EUR</f>
        <v/>
      </c>
      <c r="F105" s="133" t="n"/>
      <c r="G105" s="131" t="n"/>
      <c r="H105" s="132">
        <f>I104*EUR</f>
        <v/>
      </c>
      <c r="I105" s="134" t="n"/>
      <c r="J105" s="135" t="n"/>
      <c r="K105" s="136" t="n"/>
      <c r="L105" s="1" t="n"/>
      <c r="M105" s="1" t="n"/>
      <c r="N105" s="1" t="n"/>
      <c r="O105" s="52" t="inlineStr">
        <is>
          <t>Already paid</t>
        </is>
      </c>
      <c r="P105" s="128" t="n"/>
      <c r="Q105" s="100">
        <f>P105*EUR</f>
        <v/>
      </c>
      <c r="R105" s="1" t="n"/>
      <c r="S105" s="85" t="n"/>
      <c r="T105" s="1" t="n"/>
    </row>
    <row r="106" ht="13.5" customHeight="1">
      <c r="A106" s="16" t="n"/>
      <c r="B106" s="137" t="inlineStr">
        <is>
          <t>Completion</t>
        </is>
      </c>
      <c r="C106" s="1" t="n"/>
      <c r="D106" s="1" t="n"/>
      <c r="E106" s="138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52" t="inlineStr">
        <is>
          <t>Remaining</t>
        </is>
      </c>
      <c r="P106" s="139">
        <f>P104-P105</f>
        <v/>
      </c>
      <c r="Q106" s="100">
        <f>P106*EUR</f>
        <v/>
      </c>
      <c r="R106" s="85" t="n"/>
      <c r="S106" s="85" t="n"/>
      <c r="T106" s="1" t="n"/>
    </row>
    <row r="107">
      <c r="A107" s="16" t="n"/>
      <c r="B107" s="1" t="n"/>
      <c r="C107" s="21" t="n"/>
      <c r="D107" s="21" t="n"/>
      <c r="E107" s="1" t="n"/>
      <c r="F107" s="1" t="n"/>
      <c r="G107" s="2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85" t="n"/>
      <c r="Q107" s="85" t="n"/>
      <c r="R107" s="1" t="n"/>
      <c r="S107" s="85" t="n"/>
      <c r="T107" s="1" t="n"/>
    </row>
    <row r="108" ht="13.5" customHeight="1">
      <c r="A108" s="16" t="n"/>
      <c r="B108" s="1" t="n"/>
      <c r="C108" s="21" t="n"/>
      <c r="D108" s="21" t="n"/>
      <c r="E108" s="1" t="n"/>
      <c r="F108" s="1" t="n"/>
      <c r="G108" s="2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</row>
    <row r="109" ht="16.5" customHeight="1">
      <c r="A109" s="16" t="n"/>
      <c r="B109" s="1" t="n"/>
      <c r="C109" s="21" t="n"/>
      <c r="D109" s="21" t="n"/>
      <c r="E109" s="1" t="n"/>
      <c r="F109" s="1" t="n"/>
      <c r="G109" s="21" t="n"/>
      <c r="H109" s="1" t="n"/>
      <c r="I109" s="1" t="n"/>
      <c r="J109" s="1" t="n"/>
      <c r="K109" s="4" t="n"/>
      <c r="L109" s="140" t="inlineStr">
        <is>
          <t>CODE</t>
        </is>
      </c>
      <c r="M109" s="141" t="n"/>
      <c r="N109" s="142" t="inlineStr">
        <is>
          <t>Description</t>
        </is>
      </c>
      <c r="O109" s="142" t="inlineStr">
        <is>
          <t>Amount</t>
        </is>
      </c>
      <c r="P109" s="143" t="inlineStr">
        <is>
          <t>Amount With discount</t>
        </is>
      </c>
      <c r="Q109" s="1" t="n"/>
      <c r="R109" s="1" t="n"/>
      <c r="S109" s="1" t="n"/>
      <c r="T109" s="1" t="n"/>
    </row>
    <row r="110" ht="15.75" customHeight="1">
      <c r="A110" s="16" t="n"/>
      <c r="B110" s="1" t="n"/>
      <c r="C110" s="21" t="n"/>
      <c r="D110" s="21" t="n"/>
      <c r="E110" s="1" t="n"/>
      <c r="F110" s="1" t="n"/>
      <c r="G110" s="21" t="n"/>
      <c r="H110" s="1" t="n"/>
      <c r="I110" s="1" t="n"/>
      <c r="J110" s="1" t="n"/>
      <c r="K110" s="4" t="n"/>
      <c r="L110" s="144" t="inlineStr">
        <is>
          <t>0080/8038/400</t>
        </is>
      </c>
      <c r="M110" s="145" t="n"/>
      <c r="N110" s="145" t="inlineStr">
        <is>
          <t>O&amp;R Main Drives</t>
        </is>
      </c>
      <c r="O110" s="146">
        <f>SUMPRODUCT(($R$8:$R$97=L110)*($P$8:$P$97))</f>
        <v/>
      </c>
      <c r="P110" s="147">
        <f>O110*(1-$O$102)</f>
        <v/>
      </c>
      <c r="Q110" s="148" t="n"/>
      <c r="R110" s="1" t="n"/>
      <c r="S110" s="1" t="n"/>
      <c r="T110" s="1" t="n"/>
    </row>
    <row r="111" ht="15.75" customHeight="1">
      <c r="A111" s="16" t="n"/>
      <c r="B111" s="1" t="n"/>
      <c r="C111" s="21" t="n"/>
      <c r="D111" s="21" t="n"/>
      <c r="E111" s="1" t="n"/>
      <c r="F111" s="1" t="n"/>
      <c r="G111" s="21" t="n"/>
      <c r="H111" s="149" t="n"/>
      <c r="I111" s="1" t="n"/>
      <c r="J111" s="1" t="n"/>
      <c r="K111" s="4" t="n"/>
      <c r="L111" s="144" t="inlineStr">
        <is>
          <t>0080/8038/401</t>
        </is>
      </c>
      <c r="M111" s="145" t="n"/>
      <c r="N111" s="145" t="inlineStr">
        <is>
          <t>O&amp;R  Aux Drives</t>
        </is>
      </c>
      <c r="O111" s="146">
        <f>SUMPRODUCT(($R$8:$R$97=L111)*($P$8:$P$97))</f>
        <v/>
      </c>
      <c r="P111" s="147">
        <f>O111*(1-$O$102)</f>
        <v/>
      </c>
      <c r="Q111" s="148" t="n"/>
      <c r="R111" s="1" t="n"/>
      <c r="S111" s="1" t="n"/>
      <c r="T111" s="1" t="n"/>
    </row>
    <row r="112" ht="15.75" customHeight="1">
      <c r="A112" s="16" t="n"/>
      <c r="B112" s="1" t="n"/>
      <c r="C112" s="21" t="n"/>
      <c r="D112" s="21" t="n"/>
      <c r="E112" s="1" t="n"/>
      <c r="F112" s="1" t="n"/>
      <c r="G112" s="21" t="n"/>
      <c r="H112" s="1" t="n"/>
      <c r="I112" s="1" t="n"/>
      <c r="J112" s="1" t="n"/>
      <c r="K112" s="4" t="n"/>
      <c r="L112" s="144" t="inlineStr">
        <is>
          <t>0080/8038/402</t>
        </is>
      </c>
      <c r="M112" s="145" t="n"/>
      <c r="N112" s="145" t="inlineStr">
        <is>
          <t>O&amp;R Electrical</t>
        </is>
      </c>
      <c r="O112" s="146">
        <f>SUMPRODUCT(($R$8:$R$97=L112)*($P$8:$P$97))</f>
        <v/>
      </c>
      <c r="P112" s="147">
        <f>O112*(1-$O$102)</f>
        <v/>
      </c>
      <c r="Q112" s="148" t="n"/>
      <c r="R112" s="1" t="n"/>
      <c r="S112" s="85" t="n"/>
      <c r="T112" s="1" t="n"/>
    </row>
    <row r="113" ht="15.75" customHeight="1">
      <c r="A113" s="16" t="n"/>
      <c r="B113" s="1" t="n"/>
      <c r="C113" s="150" t="n"/>
      <c r="D113" s="21" t="n"/>
      <c r="E113" s="1" t="n"/>
      <c r="F113" s="1" t="n"/>
      <c r="G113" s="21" t="n"/>
      <c r="H113" s="149" t="n"/>
      <c r="I113" s="1" t="n"/>
      <c r="J113" s="1" t="n"/>
      <c r="K113" s="4" t="n"/>
      <c r="L113" s="144" t="inlineStr">
        <is>
          <t>0080/8038/403</t>
        </is>
      </c>
      <c r="M113" s="145" t="n"/>
      <c r="N113" s="145" t="inlineStr">
        <is>
          <t>O&amp;R Hydraulic</t>
        </is>
      </c>
      <c r="O113" s="146">
        <f>SUMPRODUCT(($R$8:$R$97=L113)*($P$8:$P$97))</f>
        <v/>
      </c>
      <c r="P113" s="147">
        <f>O113*(1-$O$102)</f>
        <v/>
      </c>
      <c r="Q113" s="148" t="n"/>
      <c r="R113" s="1" t="n"/>
      <c r="S113" s="85" t="n"/>
      <c r="T113" s="1" t="n"/>
    </row>
    <row r="114" ht="15.75" customHeight="1">
      <c r="A114" s="1" t="n"/>
      <c r="B114" s="1" t="n"/>
      <c r="C114" s="151" t="n"/>
      <c r="D114" s="1" t="n"/>
      <c r="E114" s="1" t="n"/>
      <c r="F114" s="1" t="n"/>
      <c r="G114" s="1" t="n"/>
      <c r="H114" s="1" t="n"/>
      <c r="I114" s="1" t="n"/>
      <c r="J114" s="1" t="n"/>
      <c r="K114" s="4" t="n"/>
      <c r="L114" s="144" t="inlineStr">
        <is>
          <t>0080/8038/404</t>
        </is>
      </c>
      <c r="M114" s="145" t="n"/>
      <c r="N114" s="145" t="inlineStr">
        <is>
          <t>O&amp;R Hoisting Equipment</t>
        </is>
      </c>
      <c r="O114" s="146">
        <f>SUMPRODUCT(($R$8:$R$97=L114)*($P$8:$P$97))</f>
        <v/>
      </c>
      <c r="P114" s="147">
        <f>O114*(1-$O$102)</f>
        <v/>
      </c>
      <c r="Q114" s="148" t="n"/>
      <c r="R114" s="1" t="n"/>
      <c r="S114" s="85" t="n"/>
      <c r="T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4" t="n"/>
      <c r="L115" s="144" t="inlineStr">
        <is>
          <t>0080/8038/405</t>
        </is>
      </c>
      <c r="M115" s="145" t="n"/>
      <c r="N115" s="145" t="inlineStr">
        <is>
          <t>O&amp;R Engine Room</t>
        </is>
      </c>
      <c r="O115" s="146">
        <f>SUMPRODUCT(($R$8:$R$97=L115)*($P$8:$P$97))</f>
        <v/>
      </c>
      <c r="P115" s="147">
        <f>O115*(1-$O$102)</f>
        <v/>
      </c>
      <c r="Q115" s="148" t="n"/>
      <c r="R115" s="1" t="n"/>
      <c r="S115" s="85" t="n"/>
      <c r="T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4" t="n"/>
      <c r="L116" s="144" t="inlineStr">
        <is>
          <t>0080/8038/406</t>
        </is>
      </c>
      <c r="M116" s="145" t="n"/>
      <c r="N116" s="145" t="inlineStr">
        <is>
          <t>O&amp;R Dredging Equipment</t>
        </is>
      </c>
      <c r="O116" s="146">
        <f>SUMPRODUCT(($R$8:$R$97=L116)*($P$8:$P$97))</f>
        <v/>
      </c>
      <c r="P116" s="147">
        <f>O116*(1-$O$102)</f>
        <v/>
      </c>
      <c r="Q116" s="148" t="n"/>
      <c r="R116" s="1" t="n"/>
      <c r="S116" s="85" t="n"/>
      <c r="T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4" t="n"/>
      <c r="L117" s="144" t="inlineStr">
        <is>
          <t>0080/8038/407</t>
        </is>
      </c>
      <c r="M117" s="145" t="n"/>
      <c r="N117" s="145" t="inlineStr">
        <is>
          <t>O&amp;R Hull</t>
        </is>
      </c>
      <c r="O117" s="146">
        <f>SUMPRODUCT(($R$8:$R$97=L117)*($P$8:$P$97))</f>
        <v/>
      </c>
      <c r="P117" s="147">
        <f>O117*(1-$O$102)</f>
        <v/>
      </c>
      <c r="Q117" s="148" t="n"/>
      <c r="R117" s="1" t="n"/>
      <c r="S117" s="85" t="n"/>
      <c r="T117" s="1" t="n"/>
    </row>
    <row r="118" ht="15.75" customHeight="1">
      <c r="A118" s="16" t="n"/>
      <c r="B118" s="1" t="n"/>
      <c r="C118" s="21" t="n"/>
      <c r="D118" s="1" t="n"/>
      <c r="E118" s="1" t="n"/>
      <c r="F118" s="1" t="n"/>
      <c r="G118" s="21" t="n"/>
      <c r="H118" s="1" t="n"/>
      <c r="I118" s="1" t="n"/>
      <c r="J118" s="1" t="n"/>
      <c r="K118" s="4" t="n"/>
      <c r="L118" s="144" t="inlineStr">
        <is>
          <t>0080/8038/408</t>
        </is>
      </c>
      <c r="M118" s="145" t="n"/>
      <c r="N118" s="145" t="inlineStr">
        <is>
          <t>O&amp;R Hopper</t>
        </is>
      </c>
      <c r="O118" s="146">
        <f>SUMPRODUCT(($R$8:$R$97=L118)*($P$8:$P$97))</f>
        <v/>
      </c>
      <c r="P118" s="147">
        <f>O118*(1-$O$102)</f>
        <v/>
      </c>
      <c r="Q118" s="148" t="n"/>
      <c r="R118" s="1" t="n"/>
      <c r="S118" s="85" t="n"/>
      <c r="T118" s="1" t="n"/>
    </row>
    <row r="119" ht="15.75" customHeight="1">
      <c r="A119" s="16" t="n"/>
      <c r="B119" s="1" t="n"/>
      <c r="C119" s="21" t="n"/>
      <c r="D119" s="1" t="n"/>
      <c r="E119" s="1" t="n"/>
      <c r="F119" s="1" t="n"/>
      <c r="G119" s="21" t="n"/>
      <c r="H119" s="1" t="n"/>
      <c r="I119" s="1" t="n"/>
      <c r="J119" s="1" t="n"/>
      <c r="K119" s="4" t="n"/>
      <c r="L119" s="144" t="inlineStr">
        <is>
          <t>0080/8038/411</t>
        </is>
      </c>
      <c r="M119" s="145" t="n"/>
      <c r="N119" s="145" t="inlineStr">
        <is>
          <t>O&amp;R General</t>
        </is>
      </c>
      <c r="O119" s="146">
        <f>SUMPRODUCT(($R$8:$R$97=L119)*($P$8:$P$97))</f>
        <v/>
      </c>
      <c r="P119" s="147">
        <f>O119*(1-$O$102)</f>
        <v/>
      </c>
      <c r="Q119" s="148" t="n"/>
      <c r="R119" s="1" t="n"/>
      <c r="S119" s="85" t="n"/>
      <c r="T119" s="1" t="n"/>
    </row>
    <row r="120" ht="15.75" customHeight="1">
      <c r="A120" s="16" t="n"/>
      <c r="B120" s="1" t="n"/>
      <c r="C120" s="21" t="n"/>
      <c r="D120" s="1" t="n"/>
      <c r="E120" s="1" t="n"/>
      <c r="F120" s="1" t="n"/>
      <c r="G120" s="21" t="n"/>
      <c r="H120" s="1" t="n"/>
      <c r="I120" s="1" t="n"/>
      <c r="J120" s="1" t="n"/>
      <c r="K120" s="4" t="n"/>
      <c r="L120" s="144" t="inlineStr">
        <is>
          <t>0080/8038/447</t>
        </is>
      </c>
      <c r="M120" s="145" t="n"/>
      <c r="N120" s="145" t="inlineStr">
        <is>
          <t>Shipyard repairs</t>
        </is>
      </c>
      <c r="O120" s="146">
        <f>SUMPRODUCT(($R$8:$R$97=L120)*($P$8:$P$97))</f>
        <v/>
      </c>
      <c r="P120" s="147">
        <f>O120*(1-$O$102)</f>
        <v/>
      </c>
      <c r="Q120" s="148" t="n"/>
      <c r="R120" s="1" t="n"/>
      <c r="S120" s="85" t="n"/>
      <c r="T120" s="1" t="n"/>
    </row>
    <row r="121" ht="15.75" customHeight="1">
      <c r="A121" s="16" t="n"/>
      <c r="B121" s="1" t="n"/>
      <c r="C121" s="21" t="n"/>
      <c r="D121" s="1" t="n"/>
      <c r="E121" s="1" t="n"/>
      <c r="F121" s="1" t="n"/>
      <c r="G121" s="21" t="n"/>
      <c r="H121" s="1" t="n"/>
      <c r="I121" s="1" t="n"/>
      <c r="J121" s="1" t="n"/>
      <c r="K121" s="4" t="n"/>
      <c r="L121" s="144" t="inlineStr">
        <is>
          <t>0080/8038/449</t>
        </is>
      </c>
      <c r="M121" s="145" t="n"/>
      <c r="N121" s="145" t="inlineStr">
        <is>
          <t>M&amp;R Safety, Classification &amp; Inspection</t>
        </is>
      </c>
      <c r="O121" s="146">
        <f>SUMPRODUCT(($R$8:$R$97=L121)*($P$8:$P$97))</f>
        <v/>
      </c>
      <c r="P121" s="147">
        <f>O121*(1-$O$102)</f>
        <v/>
      </c>
      <c r="Q121" s="148" t="n"/>
      <c r="R121" s="1" t="n"/>
      <c r="S121" s="85" t="n"/>
      <c r="T121" s="1" t="n"/>
    </row>
    <row r="122" ht="15.75" customHeight="1">
      <c r="A122" s="16" t="n"/>
      <c r="B122" s="1" t="n"/>
      <c r="C122" s="21" t="n"/>
      <c r="D122" s="1" t="n"/>
      <c r="E122" s="1" t="n"/>
      <c r="F122" s="1" t="n"/>
      <c r="G122" s="21" t="n"/>
      <c r="H122" s="1" t="n"/>
      <c r="I122" s="1" t="n"/>
      <c r="J122" s="1" t="n"/>
      <c r="K122" s="4" t="n"/>
      <c r="L122" s="144" t="inlineStr">
        <is>
          <t>0080/8038/453</t>
        </is>
      </c>
      <c r="M122" s="145" t="n"/>
      <c r="N122" s="145" t="inlineStr">
        <is>
          <t>Fuel</t>
        </is>
      </c>
      <c r="O122" s="146">
        <f>SUMPRODUCT(($R$8:$R$97=L122)*($P$8:$P$97))</f>
        <v/>
      </c>
      <c r="P122" s="147">
        <f>O122*(1-$O$102)</f>
        <v/>
      </c>
      <c r="Q122" s="148" t="n"/>
      <c r="R122" s="1" t="n"/>
      <c r="S122" s="85" t="n"/>
      <c r="T122" s="1" t="n"/>
    </row>
    <row r="123" ht="15.75" customHeight="1">
      <c r="A123" s="16" t="n"/>
      <c r="B123" s="1" t="n"/>
      <c r="C123" s="21" t="n"/>
      <c r="D123" s="21" t="n"/>
      <c r="E123" s="1" t="n"/>
      <c r="F123" s="1" t="n"/>
      <c r="G123" s="21" t="n"/>
      <c r="H123" s="1" t="n"/>
      <c r="I123" s="1" t="n"/>
      <c r="J123" s="1" t="n"/>
      <c r="K123" s="4" t="n"/>
      <c r="L123" s="144" t="inlineStr">
        <is>
          <t>0080/8038/463</t>
        </is>
      </c>
      <c r="M123" s="145" t="n"/>
      <c r="N123" s="145" t="inlineStr">
        <is>
          <t>Fresh Water</t>
        </is>
      </c>
      <c r="O123" s="146">
        <f>SUMPRODUCT(($R$8:$R$97=L123)*($P$8:$P$97))</f>
        <v/>
      </c>
      <c r="P123" s="147">
        <f>O123*(1-$O$102)</f>
        <v/>
      </c>
      <c r="Q123" s="148" t="n"/>
      <c r="R123" s="1" t="n"/>
      <c r="S123" s="85" t="n"/>
      <c r="T123" s="1" t="n"/>
    </row>
    <row r="124" ht="15.75" customHeight="1">
      <c r="A124" s="16" t="n"/>
      <c r="B124" s="1" t="n"/>
      <c r="C124" s="21" t="n"/>
      <c r="D124" s="1" t="n"/>
      <c r="E124" s="1" t="n"/>
      <c r="F124" s="1" t="n"/>
      <c r="G124" s="21" t="n"/>
      <c r="H124" s="1" t="n"/>
      <c r="I124" s="1" t="n"/>
      <c r="J124" s="1" t="n"/>
      <c r="K124" s="4" t="n"/>
      <c r="L124" s="144" t="inlineStr">
        <is>
          <t>0080/8038/464</t>
        </is>
      </c>
      <c r="M124" s="145" t="n"/>
      <c r="N124" s="145" t="inlineStr">
        <is>
          <t>Waste Disposal</t>
        </is>
      </c>
      <c r="O124" s="146">
        <f>SUMPRODUCT(($R$8:$R$97=L124)*($P$8:$P$97))</f>
        <v/>
      </c>
      <c r="P124" s="147">
        <f>O124*(1-$O$102)</f>
        <v/>
      </c>
      <c r="Q124" s="148" t="n"/>
      <c r="R124" s="1" t="n"/>
      <c r="S124" s="85" t="n"/>
      <c r="T124" s="1" t="n"/>
    </row>
    <row r="125" ht="15.75" customHeight="1">
      <c r="A125" s="16" t="n"/>
      <c r="B125" s="1" t="n"/>
      <c r="C125" s="21" t="n"/>
      <c r="D125" s="1" t="n"/>
      <c r="E125" s="1" t="n"/>
      <c r="F125" s="1" t="n"/>
      <c r="G125" s="21" t="n"/>
      <c r="H125" s="1" t="n"/>
      <c r="I125" s="1" t="n"/>
      <c r="J125" s="1" t="n"/>
      <c r="K125" s="4" t="n"/>
      <c r="L125" s="144" t="inlineStr">
        <is>
          <t>0080/8038/484</t>
        </is>
      </c>
      <c r="M125" s="145" t="n"/>
      <c r="N125" s="145" t="inlineStr">
        <is>
          <t>Shore power supply</t>
        </is>
      </c>
      <c r="O125" s="146">
        <f>SUMPRODUCT(($R$8:$R$97=L125)*($P$8:$P$97))</f>
        <v/>
      </c>
      <c r="P125" s="147">
        <f>O125*(1-$O$102)</f>
        <v/>
      </c>
      <c r="Q125" s="148" t="n"/>
      <c r="R125" s="1" t="n"/>
      <c r="S125" s="85" t="n"/>
      <c r="T125" s="1" t="n"/>
    </row>
    <row r="126" ht="15.75" customHeight="1">
      <c r="A126" s="16" t="n"/>
      <c r="B126" s="1" t="n"/>
      <c r="C126" s="21" t="n"/>
      <c r="D126" s="1" t="n"/>
      <c r="E126" s="1" t="n"/>
      <c r="F126" s="1" t="n"/>
      <c r="G126" s="21" t="n"/>
      <c r="H126" s="1" t="n"/>
      <c r="I126" s="1" t="n"/>
      <c r="J126" s="1" t="n"/>
      <c r="K126" s="4" t="n"/>
      <c r="L126" s="144" t="n"/>
      <c r="M126" s="145" t="n"/>
      <c r="N126" s="145" t="n"/>
      <c r="O126" s="146" t="n"/>
      <c r="P126" s="147" t="n"/>
      <c r="Q126" s="148" t="n"/>
      <c r="R126" s="1" t="n"/>
      <c r="S126" s="85" t="n"/>
      <c r="T126" s="1" t="n"/>
    </row>
    <row r="127" ht="16.5" customHeight="1">
      <c r="A127" s="16" t="n"/>
      <c r="B127" s="1" t="n"/>
      <c r="C127" s="21" t="n"/>
      <c r="D127" s="1" t="n"/>
      <c r="E127" s="1" t="n"/>
      <c r="F127" s="1" t="n"/>
      <c r="G127" s="21" t="n"/>
      <c r="H127" s="1" t="n"/>
      <c r="I127" s="1" t="n"/>
      <c r="J127" s="1" t="n"/>
      <c r="K127" s="4" t="n"/>
      <c r="L127" s="152" t="inlineStr">
        <is>
          <t>Project</t>
        </is>
      </c>
      <c r="M127" s="153" t="n"/>
      <c r="N127" s="153" t="inlineStr">
        <is>
          <t>Project Logistics</t>
        </is>
      </c>
      <c r="O127" s="154">
        <f>SUMPRODUCT(($R$8:$R$97=L127)*($P$8:$P$97))</f>
        <v/>
      </c>
      <c r="P127" s="155">
        <f>O127*(1-$O$102)</f>
        <v/>
      </c>
      <c r="Q127" s="148" t="n"/>
      <c r="R127" s="1" t="n"/>
      <c r="S127" s="85" t="n"/>
      <c r="T127" s="1" t="n"/>
    </row>
    <row r="128">
      <c r="A128" s="16" t="n"/>
      <c r="B128" s="1" t="n"/>
      <c r="C128" s="21" t="n"/>
      <c r="D128" s="1" t="n"/>
      <c r="E128" s="1" t="n"/>
      <c r="F128" s="1" t="n"/>
      <c r="G128" s="21" t="n"/>
      <c r="H128" s="1" t="n"/>
      <c r="I128" s="1" t="n"/>
      <c r="J128" s="1" t="n"/>
      <c r="K128" s="1" t="n"/>
      <c r="L128" s="1" t="n"/>
      <c r="M128" s="156" t="n"/>
      <c r="N128" s="1" t="n"/>
      <c r="O128" s="156" t="n"/>
      <c r="P128" s="1" t="n"/>
      <c r="Q128" s="1" t="n"/>
      <c r="R128" s="1" t="n"/>
      <c r="S128" s="85" t="n"/>
      <c r="T128" s="1" t="n"/>
    </row>
    <row r="129" ht="15.75" customHeight="1">
      <c r="A129" s="16" t="n"/>
      <c r="B129" s="1" t="n"/>
      <c r="C129" s="21" t="n"/>
      <c r="D129" s="21" t="n"/>
      <c r="E129" s="1" t="n"/>
      <c r="F129" s="1" t="n"/>
      <c r="G129" s="21" t="n"/>
      <c r="H129" s="1" t="n"/>
      <c r="I129" s="1" t="n"/>
      <c r="J129" s="1" t="n"/>
      <c r="K129" s="1" t="n"/>
      <c r="L129" s="1" t="n"/>
      <c r="M129" s="157" t="inlineStr">
        <is>
          <t>TOTAL</t>
        </is>
      </c>
      <c r="N129" s="1" t="n"/>
      <c r="O129" s="146">
        <f>SUM(O110:O127)</f>
        <v/>
      </c>
      <c r="P129" s="158">
        <f>SUM(P110:P127)</f>
        <v/>
      </c>
      <c r="Q129" s="158" t="n"/>
      <c r="R129" s="1" t="n"/>
      <c r="S129" s="85" t="n"/>
      <c r="T129" s="1" t="n"/>
    </row>
  </sheetData>
  <autoFilter ref="R8:R97"/>
  <mergeCells count="1">
    <mergeCell ref="P4:Q4"/>
  </mergeCells>
  <pageMargins left="0.75" right="0.75" top="1" bottom="1" header="0.5" footer="0.5"/>
  <pageSetup orientation="landscape" paperSize="8" scale="63" fitToHeight="0"/>
  <headerFooter>
    <oddHeader/>
    <oddFooter>&amp;L&amp;F&amp;R&amp;P/&amp;N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cols>
    <col width="11.5703125" customWidth="1" min="1" max="1"/>
    <col width="15" customWidth="1" min="2" max="2"/>
    <col width="13.85546875" customWidth="1" min="3" max="3"/>
    <col width="28" customWidth="1" min="4" max="4"/>
    <col width="27.5703125" customWidth="1" min="5" max="5"/>
    <col width="14.28515625" customWidth="1" min="6" max="6"/>
    <col width="16.7109375" customWidth="1" min="7" max="7"/>
    <col width="24.140625" customWidth="1" min="8" max="8"/>
    <col width="13.42578125" customWidth="1" min="9" max="9"/>
    <col width="13.140625" customWidth="1" min="10" max="10"/>
    <col width="9.5703125" customWidth="1" min="11" max="11"/>
    <col width="14.7109375" customWidth="1" min="12" max="12"/>
    <col width="10.42578125" customWidth="1" min="14" max="14"/>
  </cols>
  <sheetData>
    <row r="1" ht="12.75" customHeight="1">
      <c r="A1" s="159" t="inlineStr">
        <is>
          <t>AL-IDRISI DRYDOCK 2027 - AXI COST BREAKDOWN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1" t="inlineStr">
        <is>
          <t>Rev. #</t>
        </is>
      </c>
      <c r="N1" s="162" t="inlineStr">
        <is>
          <t>Name</t>
        </is>
      </c>
      <c r="O1" s="163" t="inlineStr">
        <is>
          <t>Date</t>
        </is>
      </c>
    </row>
    <row r="2" ht="12.75" customHeight="1">
      <c r="A2" s="164" t="n"/>
      <c r="M2" s="12">
        <f>IFERROR(LOOKUP(2,1/('SOW initial'!$G$3:$G$12&lt;&gt;""),'SOW initial'!$G$3:$G$12),"")</f>
        <v/>
      </c>
      <c r="N2" s="165">
        <f>IFERROR(LOOKUP(2,1/('SOW initial'!$H$3:$H$12&lt;&gt;""),'SOW initial'!$H$3:$H$12),"")</f>
        <v/>
      </c>
      <c r="O2" s="14">
        <f>IFERROR(LOOKUP(2,1/('SOW initial'!$I$3:$I$12&lt;&gt;""),'SOW initial'!$I$3:$I$12),"")</f>
        <v/>
      </c>
    </row>
    <row r="3" ht="12.75" customHeight="1">
      <c r="A3" s="164" t="n"/>
      <c r="M3" s="18" t="inlineStr">
        <is>
          <t>Last change</t>
        </is>
      </c>
      <c r="N3" s="19" t="n"/>
      <c r="O3" s="20">
        <f>LastChange</f>
        <v/>
      </c>
    </row>
    <row r="4" ht="13.5" customHeight="1">
      <c r="A4" s="166" t="n"/>
      <c r="B4" s="167" t="n"/>
      <c r="C4" s="167" t="n"/>
      <c r="D4" s="167" t="n"/>
      <c r="E4" s="167" t="n"/>
      <c r="F4" s="167" t="n"/>
      <c r="G4" s="167" t="n"/>
      <c r="H4" s="167" t="n"/>
      <c r="I4" s="167" t="n"/>
      <c r="J4" s="167" t="n"/>
      <c r="K4" s="167" t="n"/>
      <c r="L4" s="167" t="n"/>
      <c r="M4" s="1" t="n"/>
      <c r="N4" s="1" t="n"/>
      <c r="O4" s="1" t="n"/>
    </row>
    <row r="5" ht="25.5" customHeight="1">
      <c r="A5" s="168" t="inlineStr">
        <is>
          <t>Costplace</t>
        </is>
      </c>
      <c r="B5" s="169" t="inlineStr">
        <is>
          <t>Cost Carrier</t>
        </is>
      </c>
      <c r="C5" s="169" t="inlineStr">
        <is>
          <t>Detailcode</t>
        </is>
      </c>
      <c r="D5" s="169" t="inlineStr">
        <is>
          <t>Detail Description</t>
        </is>
      </c>
      <c r="E5" s="169" t="inlineStr">
        <is>
          <t>Comments</t>
        </is>
      </c>
      <c r="F5" s="169" t="inlineStr">
        <is>
          <t>Document
Curr</t>
        </is>
      </c>
      <c r="G5" s="170" t="inlineStr">
        <is>
          <t>Initial Amount
Doc curr</t>
        </is>
      </c>
      <c r="H5" s="169" t="inlineStr">
        <is>
          <t>Discount Amount
Doc curr</t>
        </is>
      </c>
      <c r="I5" s="170" t="inlineStr">
        <is>
          <t>Final Amount
Doc Curr</t>
        </is>
      </c>
      <c r="J5" s="170" t="inlineStr">
        <is>
          <t>Reallocation
General costs</t>
        </is>
      </c>
      <c r="K5" s="169" t="inlineStr">
        <is>
          <t>Spread %</t>
        </is>
      </c>
      <c r="L5" s="171" t="inlineStr">
        <is>
          <t>Final Amount
EUR</t>
        </is>
      </c>
      <c r="M5" s="1" t="n"/>
      <c r="N5" s="1" t="n"/>
      <c r="O5" s="1" t="n"/>
    </row>
    <row r="6" ht="15" customHeight="1">
      <c r="A6" s="172" t="n"/>
      <c r="B6" s="173" t="n"/>
      <c r="C6" s="174" t="n">
        <v>447</v>
      </c>
      <c r="D6" s="175" t="n"/>
      <c r="E6" s="176" t="inlineStr">
        <is>
          <t>General cost shipyard</t>
        </is>
      </c>
      <c r="F6" s="175" t="inlineStr">
        <is>
          <t>USD</t>
        </is>
      </c>
      <c r="G6" s="177">
        <f>'Costfile - Invoice discussion'!O120</f>
        <v/>
      </c>
      <c r="H6" s="178">
        <f>IFERROR($H$38/$G$38*G6,0)</f>
        <v/>
      </c>
      <c r="I6" s="179">
        <f>IFERROR(G6-H6,0)</f>
        <v/>
      </c>
      <c r="J6" s="179" t="n"/>
      <c r="K6" s="180" t="n"/>
      <c r="L6" s="181" t="n"/>
      <c r="M6" s="1" t="n"/>
      <c r="N6" s="1" t="n"/>
      <c r="O6" s="1" t="n"/>
    </row>
    <row r="7" ht="15" customHeight="1">
      <c r="A7" s="182" t="n"/>
      <c r="B7" s="183" t="n"/>
      <c r="C7" s="184" t="n"/>
      <c r="D7" s="175" t="n"/>
      <c r="E7" s="185" t="inlineStr">
        <is>
          <t>Non recoverable taxes and VAT</t>
        </is>
      </c>
      <c r="F7" s="175" t="inlineStr">
        <is>
          <t>USD</t>
        </is>
      </c>
      <c r="G7" s="177" t="n">
        <v>0</v>
      </c>
      <c r="H7" s="178">
        <f>IFERROR($H$38/$G$38*G7,0)</f>
        <v/>
      </c>
      <c r="I7" s="186">
        <f>IFERROR(G7-H7,0)</f>
        <v/>
      </c>
      <c r="J7" s="179" t="n"/>
      <c r="K7" s="180" t="n"/>
      <c r="L7" s="181" t="n"/>
      <c r="M7" s="1" t="n"/>
      <c r="N7" s="1" t="n"/>
      <c r="O7" s="1" t="n"/>
    </row>
    <row r="8" ht="15" customHeight="1">
      <c r="A8" s="187" t="n">
        <v>80</v>
      </c>
      <c r="B8" s="188" t="n">
        <v>8038</v>
      </c>
      <c r="C8" s="189" t="n">
        <v>303</v>
      </c>
      <c r="D8" s="190" t="inlineStr">
        <is>
          <t>W &amp; T Piping</t>
        </is>
      </c>
      <c r="E8" s="175" t="n"/>
      <c r="F8" s="175" t="inlineStr">
        <is>
          <t>USD</t>
        </is>
      </c>
      <c r="G8" s="177" t="n">
        <v>0</v>
      </c>
      <c r="H8" s="178">
        <f>IFERROR($H$38/$G$38*G8,0)</f>
        <v/>
      </c>
      <c r="I8" s="186">
        <f>IFERROR(G8-H8,0)</f>
        <v/>
      </c>
      <c r="J8" s="186">
        <f>IFERROR(I8+(($I$6+$I$7)*I8/($I$38-($I$6+$I$7))),0)</f>
        <v/>
      </c>
      <c r="K8" s="191">
        <f>IFERROR(J8/$I$38,0)</f>
        <v/>
      </c>
      <c r="L8" s="192">
        <f>IFERROR($L$38*K8,0)</f>
        <v/>
      </c>
      <c r="M8" s="1" t="n"/>
      <c r="N8" s="1" t="n"/>
      <c r="O8" s="1" t="n"/>
    </row>
    <row r="9" ht="15" customHeight="1">
      <c r="A9" s="187" t="n">
        <v>80</v>
      </c>
      <c r="B9" s="188" t="n">
        <v>8038</v>
      </c>
      <c r="C9" s="193" t="n">
        <v>304</v>
      </c>
      <c r="D9" s="190" t="inlineStr">
        <is>
          <t>W &amp; T Others</t>
        </is>
      </c>
      <c r="E9" s="193" t="n"/>
      <c r="F9" s="175" t="inlineStr">
        <is>
          <t>USD</t>
        </is>
      </c>
      <c r="G9" s="177" t="n">
        <v>0</v>
      </c>
      <c r="H9" s="178">
        <f>IFERROR($H$38/$G$38*G9,0)</f>
        <v/>
      </c>
      <c r="I9" s="186">
        <f>IFERROR(G9-H9,0)</f>
        <v/>
      </c>
      <c r="J9" s="186">
        <f>IFERROR(I9+(($I$6+$I$7)*I9/($I$38-($I$6+$I$7))),0)</f>
        <v/>
      </c>
      <c r="K9" s="191">
        <f>IFERROR(J9/$I$38,0)</f>
        <v/>
      </c>
      <c r="L9" s="192">
        <f>IFERROR($L$38*K9,0)</f>
        <v/>
      </c>
      <c r="M9" s="1" t="n"/>
      <c r="N9" s="1" t="n"/>
      <c r="O9" s="1" t="n"/>
    </row>
    <row r="10" ht="15" customHeight="1">
      <c r="A10" s="187" t="n">
        <v>80</v>
      </c>
      <c r="B10" s="188" t="n">
        <v>8038</v>
      </c>
      <c r="C10" s="193" t="n">
        <v>400</v>
      </c>
      <c r="D10" s="190" t="inlineStr">
        <is>
          <t>O&amp;R Main Drives</t>
        </is>
      </c>
      <c r="E10" s="193" t="n"/>
      <c r="F10" s="175" t="inlineStr">
        <is>
          <t>USD</t>
        </is>
      </c>
      <c r="G10" s="177">
        <f>'Costfile - Invoice discussion'!O110</f>
        <v/>
      </c>
      <c r="H10" s="178">
        <f>IFERROR($H$38/$G$38*G10,0)</f>
        <v/>
      </c>
      <c r="I10" s="186">
        <f>IFERROR(G10-H10,0)</f>
        <v/>
      </c>
      <c r="J10" s="186">
        <f>IFERROR(I10+(($I$6+$I$7)*I10/($I$38-($I$6+$I$7))),0)</f>
        <v/>
      </c>
      <c r="K10" s="191">
        <f>IFERROR(J10/$I$38,0)</f>
        <v/>
      </c>
      <c r="L10" s="192">
        <f>IFERROR($L$38*K10,0)</f>
        <v/>
      </c>
      <c r="M10" s="1" t="n"/>
      <c r="N10" s="1" t="n"/>
      <c r="O10" s="1" t="n"/>
    </row>
    <row r="11" ht="15" customHeight="1">
      <c r="A11" s="187" t="n">
        <v>80</v>
      </c>
      <c r="B11" s="188" t="n">
        <v>8038</v>
      </c>
      <c r="C11" s="193" t="n">
        <v>401</v>
      </c>
      <c r="D11" s="190" t="inlineStr">
        <is>
          <t>O&amp;R Auxilliary drives</t>
        </is>
      </c>
      <c r="E11" s="193" t="n"/>
      <c r="F11" s="175" t="inlineStr">
        <is>
          <t>USD</t>
        </is>
      </c>
      <c r="G11" s="177">
        <f>'Costfile - Invoice discussion'!O111</f>
        <v/>
      </c>
      <c r="H11" s="178">
        <f>IFERROR($H$38/$G$38*G11,0)</f>
        <v/>
      </c>
      <c r="I11" s="186">
        <f>IFERROR(G11-H11,0)</f>
        <v/>
      </c>
      <c r="J11" s="186">
        <f>IFERROR(I11+(($I$6+$I$7)*I11/($I$38-($I$6+$I$7))),0)</f>
        <v/>
      </c>
      <c r="K11" s="191">
        <f>IFERROR(J11/$I$38,0)</f>
        <v/>
      </c>
      <c r="L11" s="192">
        <f>IFERROR($L$38*K11,0)</f>
        <v/>
      </c>
      <c r="M11" s="1" t="n"/>
      <c r="N11" s="1" t="n"/>
      <c r="O11" s="1" t="n"/>
    </row>
    <row r="12" ht="15" customHeight="1">
      <c r="A12" s="187" t="n">
        <v>80</v>
      </c>
      <c r="B12" s="188" t="n">
        <v>8038</v>
      </c>
      <c r="C12" s="193" t="n">
        <v>402</v>
      </c>
      <c r="D12" s="190" t="inlineStr">
        <is>
          <t>O&amp;R Electrical</t>
        </is>
      </c>
      <c r="E12" s="193" t="n"/>
      <c r="F12" s="175" t="inlineStr">
        <is>
          <t>USD</t>
        </is>
      </c>
      <c r="G12" s="177" t="n">
        <v>0</v>
      </c>
      <c r="H12" s="178">
        <f>IFERROR($H$38/$G$38*G12,0)</f>
        <v/>
      </c>
      <c r="I12" s="186">
        <f>IFERROR(G12-H12,0)</f>
        <v/>
      </c>
      <c r="J12" s="186">
        <f>IFERROR(I12+(($I$6+$I$7)*I12/($I$38-($I$6+$I$7))),0)</f>
        <v/>
      </c>
      <c r="K12" s="191">
        <f>IFERROR(J12/$I$38,0)</f>
        <v/>
      </c>
      <c r="L12" s="192">
        <f>IFERROR($L$38*K12,0)</f>
        <v/>
      </c>
      <c r="M12" s="1" t="n"/>
      <c r="N12" s="1" t="n"/>
      <c r="O12" s="1" t="n"/>
    </row>
    <row r="13" ht="15" customHeight="1">
      <c r="A13" s="187" t="n">
        <v>80</v>
      </c>
      <c r="B13" s="188" t="n">
        <v>8038</v>
      </c>
      <c r="C13" s="193" t="n">
        <v>403</v>
      </c>
      <c r="D13" s="190" t="inlineStr">
        <is>
          <t>O&amp;R Hydraulic</t>
        </is>
      </c>
      <c r="E13" s="193" t="n"/>
      <c r="F13" s="175" t="inlineStr">
        <is>
          <t>USD</t>
        </is>
      </c>
      <c r="G13" s="177" t="n">
        <v>0</v>
      </c>
      <c r="H13" s="178">
        <f>IFERROR($H$38/$G$38*G13,0)</f>
        <v/>
      </c>
      <c r="I13" s="186">
        <f>IFERROR(G13-H13,0)</f>
        <v/>
      </c>
      <c r="J13" s="186">
        <f>IFERROR(I13+(($I$6+$I$7)*I13/($I$38-($I$6+$I$7))),0)</f>
        <v/>
      </c>
      <c r="K13" s="191">
        <f>IFERROR(J13/$I$38,0)</f>
        <v/>
      </c>
      <c r="L13" s="192">
        <f>IFERROR($L$38*K13,0)</f>
        <v/>
      </c>
      <c r="M13" s="1" t="n"/>
      <c r="N13" s="1" t="n"/>
      <c r="O13" s="1" t="n"/>
    </row>
    <row r="14" ht="15" customHeight="1">
      <c r="A14" s="187" t="n">
        <v>80</v>
      </c>
      <c r="B14" s="188" t="n">
        <v>8038</v>
      </c>
      <c r="C14" s="193" t="n">
        <v>404</v>
      </c>
      <c r="D14" s="190" t="inlineStr">
        <is>
          <t>O&amp;R Hoisting Equipment</t>
        </is>
      </c>
      <c r="E14" s="193" t="n"/>
      <c r="F14" s="175" t="inlineStr">
        <is>
          <t>USD</t>
        </is>
      </c>
      <c r="G14" s="177" t="n">
        <v>0</v>
      </c>
      <c r="H14" s="178">
        <f>IFERROR($H$38/$G$38*G14,0)</f>
        <v/>
      </c>
      <c r="I14" s="186">
        <f>IFERROR(G14-H14,0)</f>
        <v/>
      </c>
      <c r="J14" s="186">
        <f>IFERROR(I14+(($I$6+$I$7)*I14/($I$38-($I$6+$I$7))),0)</f>
        <v/>
      </c>
      <c r="K14" s="191">
        <f>IFERROR(J14/$I$38,0)</f>
        <v/>
      </c>
      <c r="L14" s="192">
        <f>IFERROR($L$38*K14,0)</f>
        <v/>
      </c>
      <c r="M14" s="1" t="n"/>
      <c r="N14" s="1" t="n"/>
      <c r="O14" s="1" t="n"/>
    </row>
    <row r="15" ht="15" customHeight="1">
      <c r="A15" s="187" t="n">
        <v>80</v>
      </c>
      <c r="B15" s="188" t="n">
        <v>8038</v>
      </c>
      <c r="C15" s="193" t="n">
        <v>405</v>
      </c>
      <c r="D15" s="190" t="inlineStr">
        <is>
          <t>O&amp;R Engine Room</t>
        </is>
      </c>
      <c r="E15" s="193" t="n"/>
      <c r="F15" s="175" t="inlineStr">
        <is>
          <t>USD</t>
        </is>
      </c>
      <c r="G15" s="177">
        <f>'Costfile - Invoice discussion'!O115</f>
        <v/>
      </c>
      <c r="H15" s="178">
        <f>IFERROR($H$38/$G$38*G15,0)</f>
        <v/>
      </c>
      <c r="I15" s="186">
        <f>IFERROR(G15-H15,0)</f>
        <v/>
      </c>
      <c r="J15" s="186">
        <f>IFERROR(I15+(($I$6+$I$7)*I15/($I$38-($I$6+$I$7))),0)</f>
        <v/>
      </c>
      <c r="K15" s="191">
        <f>IFERROR(J15/$I$38,0)</f>
        <v/>
      </c>
      <c r="L15" s="192">
        <f>IFERROR($L$38*K15,0)</f>
        <v/>
      </c>
      <c r="M15" s="1" t="n"/>
      <c r="N15" s="1" t="n"/>
      <c r="O15" s="1" t="n"/>
    </row>
    <row r="16" ht="15" customHeight="1">
      <c r="A16" s="187" t="n">
        <v>80</v>
      </c>
      <c r="B16" s="188" t="n">
        <v>8038</v>
      </c>
      <c r="C16" s="193" t="n">
        <v>406</v>
      </c>
      <c r="D16" s="190" t="inlineStr">
        <is>
          <t>O&amp;R Dredging Equipment</t>
        </is>
      </c>
      <c r="E16" s="193" t="n"/>
      <c r="F16" s="175" t="inlineStr">
        <is>
          <t>USD</t>
        </is>
      </c>
      <c r="G16" s="177" t="n">
        <v>0</v>
      </c>
      <c r="H16" s="178">
        <f>IFERROR($H$38/$G$38*G16,0)</f>
        <v/>
      </c>
      <c r="I16" s="186">
        <f>IFERROR(G16-H16,0)</f>
        <v/>
      </c>
      <c r="J16" s="186">
        <f>IFERROR(I16+(($I$6+$I$7)*I16/($I$38-($I$6+$I$7))),0)</f>
        <v/>
      </c>
      <c r="K16" s="191">
        <f>IFERROR(J16/$I$38,0)</f>
        <v/>
      </c>
      <c r="L16" s="192">
        <f>IFERROR($L$38*K16,0)</f>
        <v/>
      </c>
      <c r="M16" s="1" t="n"/>
      <c r="N16" s="1" t="n"/>
      <c r="O16" s="1" t="n"/>
    </row>
    <row r="17" ht="15" customHeight="1">
      <c r="A17" s="187" t="n">
        <v>80</v>
      </c>
      <c r="B17" s="188" t="n">
        <v>8038</v>
      </c>
      <c r="C17" s="193" t="n">
        <v>407</v>
      </c>
      <c r="D17" s="190" t="inlineStr">
        <is>
          <t>O&amp;R Hull</t>
        </is>
      </c>
      <c r="E17" s="193" t="n"/>
      <c r="F17" s="175" t="inlineStr">
        <is>
          <t>USD</t>
        </is>
      </c>
      <c r="G17" s="177">
        <f>'Costfile - Invoice discussion'!O117</f>
        <v/>
      </c>
      <c r="H17" s="178">
        <f>IFERROR($H$38/$G$38*G17,0)</f>
        <v/>
      </c>
      <c r="I17" s="186">
        <f>IFERROR(G17-H17,0)</f>
        <v/>
      </c>
      <c r="J17" s="186">
        <f>IFERROR(I17+(($I$6+$I$7)*I17/($I$38-($I$6+$I$7))),0)</f>
        <v/>
      </c>
      <c r="K17" s="191">
        <f>IFERROR(J17/$I$38,0)</f>
        <v/>
      </c>
      <c r="L17" s="192">
        <f>IFERROR($L$38*K17,0)</f>
        <v/>
      </c>
      <c r="M17" s="1" t="n"/>
      <c r="N17" s="1" t="n"/>
      <c r="O17" s="1" t="n"/>
    </row>
    <row r="18" ht="15" customHeight="1">
      <c r="A18" s="187" t="n">
        <v>80</v>
      </c>
      <c r="B18" s="188" t="n">
        <v>8038</v>
      </c>
      <c r="C18" s="193" t="n">
        <v>408</v>
      </c>
      <c r="D18" s="190" t="inlineStr">
        <is>
          <t>O&amp;R Hopper</t>
        </is>
      </c>
      <c r="E18" s="193" t="n"/>
      <c r="F18" s="175" t="inlineStr">
        <is>
          <t>USD</t>
        </is>
      </c>
      <c r="G18" s="177">
        <f>'Costfile - Invoice discussion'!O118</f>
        <v/>
      </c>
      <c r="H18" s="178">
        <f>IFERROR($H$38/$G$38*G18,0)</f>
        <v/>
      </c>
      <c r="I18" s="186">
        <f>IFERROR(G18-H18,0)</f>
        <v/>
      </c>
      <c r="J18" s="186">
        <f>IFERROR(I18+(($I$6+$I$7)*I18/($I$38-($I$6+$I$7))),0)</f>
        <v/>
      </c>
      <c r="K18" s="191">
        <f>IFERROR(J18/$I$38,0)</f>
        <v/>
      </c>
      <c r="L18" s="192">
        <f>IFERROR($L$38*K18,0)</f>
        <v/>
      </c>
      <c r="M18" s="1" t="n"/>
      <c r="N18" s="1" t="n"/>
      <c r="O18" s="1" t="n"/>
    </row>
    <row r="19" ht="15" customHeight="1">
      <c r="A19" s="187" t="n">
        <v>80</v>
      </c>
      <c r="B19" s="188" t="n">
        <v>8038</v>
      </c>
      <c r="C19" s="193" t="n">
        <v>411</v>
      </c>
      <c r="D19" s="194" t="inlineStr">
        <is>
          <t>O&amp;R General</t>
        </is>
      </c>
      <c r="E19" s="193" t="n"/>
      <c r="F19" s="175" t="inlineStr">
        <is>
          <t>USD</t>
        </is>
      </c>
      <c r="G19" s="177">
        <f>'Costfile - Invoice discussion'!O119</f>
        <v/>
      </c>
      <c r="H19" s="178">
        <f>IFERROR($H$38/$G$38*G19,0)</f>
        <v/>
      </c>
      <c r="I19" s="186">
        <f>IFERROR(G19-H19,0)</f>
        <v/>
      </c>
      <c r="J19" s="186">
        <f>IFERROR(I19+(($I$6+$I$7)*I19/($I$38-($I$6+$I$7))),0)</f>
        <v/>
      </c>
      <c r="K19" s="191">
        <f>IFERROR(J19/$I$38,0)</f>
        <v/>
      </c>
      <c r="L19" s="192">
        <f>IFERROR($L$38*K19,0)</f>
        <v/>
      </c>
      <c r="M19" s="1" t="n"/>
      <c r="N19" s="1" t="n"/>
      <c r="O19" s="1" t="n"/>
    </row>
    <row r="20" ht="15" customHeight="1">
      <c r="A20" s="187" t="n">
        <v>80</v>
      </c>
      <c r="B20" s="188" t="n">
        <v>8038</v>
      </c>
      <c r="C20" s="193" t="n">
        <v>449</v>
      </c>
      <c r="D20" s="190" t="inlineStr">
        <is>
          <t>O&amp;R Classification &amp; Inspection</t>
        </is>
      </c>
      <c r="E20" s="193" t="n"/>
      <c r="F20" s="175" t="inlineStr">
        <is>
          <t>USD</t>
        </is>
      </c>
      <c r="G20" s="177">
        <f>'Costfile - Invoice discussion'!O121</f>
        <v/>
      </c>
      <c r="H20" s="178">
        <f>IFERROR($H$38/$G$38*G20,0)</f>
        <v/>
      </c>
      <c r="I20" s="186">
        <f>IFERROR(G20-H20,0)</f>
        <v/>
      </c>
      <c r="J20" s="186">
        <f>IFERROR(I20+(($I$6+$I$7)*I20/($I$38-($I$6+$I$7))),0)</f>
        <v/>
      </c>
      <c r="K20" s="191">
        <f>IFERROR(J20/$I$38,0)</f>
        <v/>
      </c>
      <c r="L20" s="192">
        <f>IFERROR($L$38*K20,0)</f>
        <v/>
      </c>
      <c r="M20" s="1" t="n"/>
      <c r="N20" s="1" t="n"/>
      <c r="O20" s="1" t="n"/>
    </row>
    <row r="21" ht="15" customHeight="1">
      <c r="A21" s="187" t="n">
        <v>80</v>
      </c>
      <c r="B21" s="188" t="n">
        <v>8038</v>
      </c>
      <c r="C21" s="193" t="n">
        <v>453</v>
      </c>
      <c r="D21" s="190" t="inlineStr">
        <is>
          <t>Fuel</t>
        </is>
      </c>
      <c r="E21" s="193" t="n"/>
      <c r="F21" s="175" t="inlineStr">
        <is>
          <t>USD</t>
        </is>
      </c>
      <c r="G21" s="177">
        <f>'Costfile - Invoice discussion'!O122</f>
        <v/>
      </c>
      <c r="H21" s="178">
        <f>IFERROR($H$38/$G$38*G21,0)</f>
        <v/>
      </c>
      <c r="I21" s="186">
        <f>IFERROR(G21-H21,0)</f>
        <v/>
      </c>
      <c r="J21" s="186">
        <f>IFERROR(I21+(($I$6+$I$7)*I21/($I$38-($I$6+$I$7))),0)</f>
        <v/>
      </c>
      <c r="K21" s="191">
        <f>IFERROR(J21/$I$38,0)</f>
        <v/>
      </c>
      <c r="L21" s="192">
        <f>IFERROR($L$38*K21,0)</f>
        <v/>
      </c>
      <c r="M21" s="1" t="n"/>
      <c r="N21" s="1" t="n"/>
      <c r="O21" s="1" t="n"/>
    </row>
    <row r="22" ht="15" customHeight="1">
      <c r="A22" s="187" t="n">
        <v>80</v>
      </c>
      <c r="B22" s="188" t="n">
        <v>8038</v>
      </c>
      <c r="C22" s="189" t="n">
        <v>463</v>
      </c>
      <c r="D22" s="190" t="inlineStr">
        <is>
          <t>Fresh water supplies</t>
        </is>
      </c>
      <c r="E22" s="193" t="n"/>
      <c r="F22" s="175" t="inlineStr">
        <is>
          <t>USD</t>
        </is>
      </c>
      <c r="G22" s="177">
        <f>'Costfile - Invoice discussion'!O123</f>
        <v/>
      </c>
      <c r="H22" s="178">
        <f>IFERROR($H$38/$G$38*G22,0)</f>
        <v/>
      </c>
      <c r="I22" s="186">
        <f>IFERROR(G22-H22,0)</f>
        <v/>
      </c>
      <c r="J22" s="186">
        <f>IFERROR(I22+(($I$6+$I$7)*I22/($I$38-($I$6+$I$7))),0)</f>
        <v/>
      </c>
      <c r="K22" s="191">
        <f>IFERROR(J22/$I$38,0)</f>
        <v/>
      </c>
      <c r="L22" s="192">
        <f>IFERROR($L$38*K22,0)</f>
        <v/>
      </c>
      <c r="M22" s="1" t="n"/>
      <c r="N22" s="1" t="n"/>
      <c r="O22" s="1" t="n"/>
    </row>
    <row r="23" ht="15" customHeight="1">
      <c r="A23" s="187" t="n">
        <v>80</v>
      </c>
      <c r="B23" s="188" t="n">
        <v>8038</v>
      </c>
      <c r="C23" s="189" t="n">
        <v>464</v>
      </c>
      <c r="D23" s="190" t="inlineStr">
        <is>
          <t>Waste disposal &amp; collection</t>
        </is>
      </c>
      <c r="E23" s="193" t="n"/>
      <c r="F23" s="175" t="inlineStr">
        <is>
          <t>USD</t>
        </is>
      </c>
      <c r="G23" s="177">
        <f>'Costfile - Invoice discussion'!O124</f>
        <v/>
      </c>
      <c r="H23" s="178">
        <f>IFERROR($H$38/$G$38*G23,0)</f>
        <v/>
      </c>
      <c r="I23" s="186">
        <f>IFERROR(G23-H23,0)</f>
        <v/>
      </c>
      <c r="J23" s="186">
        <f>IFERROR(I23+(($I$6+$I$7)*I23/($I$38-($I$6+$I$7))),0)</f>
        <v/>
      </c>
      <c r="K23" s="191">
        <f>IFERROR(J23/$I$38,0)</f>
        <v/>
      </c>
      <c r="L23" s="192">
        <f>IFERROR($L$38*K23,0)</f>
        <v/>
      </c>
      <c r="M23" s="1" t="n"/>
      <c r="N23" s="1" t="n"/>
      <c r="O23" s="1" t="n"/>
    </row>
    <row r="24" ht="15" customHeight="1">
      <c r="A24" s="187" t="n">
        <v>80</v>
      </c>
      <c r="B24" s="188" t="n">
        <v>8038</v>
      </c>
      <c r="C24" s="189" t="n">
        <v>484</v>
      </c>
      <c r="D24" s="190" t="inlineStr">
        <is>
          <t>Shore power supply</t>
        </is>
      </c>
      <c r="E24" s="193" t="n"/>
      <c r="F24" s="175" t="inlineStr">
        <is>
          <t>USD</t>
        </is>
      </c>
      <c r="G24" s="177">
        <f>'Costfile - Invoice discussion'!O125</f>
        <v/>
      </c>
      <c r="H24" s="178">
        <f>IFERROR($H$38/$G$38*G24,0)</f>
        <v/>
      </c>
      <c r="I24" s="186">
        <f>IFERROR(G24-H24,0)</f>
        <v/>
      </c>
      <c r="J24" s="186">
        <f>IFERROR(I24+(($I$6+$I$7)*I24/($I$38-($I$6+$I$7))),0)</f>
        <v/>
      </c>
      <c r="K24" s="191">
        <f>IFERROR(J24/$I$38,0)</f>
        <v/>
      </c>
      <c r="L24" s="192">
        <f>IFERROR($L$38*K24,0)</f>
        <v/>
      </c>
      <c r="M24" s="1" t="n"/>
      <c r="N24" s="1" t="n"/>
      <c r="O24" s="1" t="n"/>
    </row>
    <row r="25" ht="15" customHeight="1">
      <c r="A25" s="187" t="n"/>
      <c r="B25" s="188" t="n"/>
      <c r="C25" s="189" t="n"/>
      <c r="D25" s="190" t="inlineStr">
        <is>
          <t>Automatische creatie</t>
        </is>
      </c>
      <c r="E25" s="193" t="n"/>
      <c r="F25" s="175" t="n"/>
      <c r="G25" s="177" t="n">
        <v>0</v>
      </c>
      <c r="H25" s="178">
        <f>IFERROR($H$38/$G$38*G25,0)</f>
        <v/>
      </c>
      <c r="I25" s="186">
        <f>IFERROR(G25-H25,0)</f>
        <v/>
      </c>
      <c r="J25" s="186">
        <f>IFERROR(I25+(($I$6+$I$7)*I25/($I$38-($I$6+$I$7))),0)</f>
        <v/>
      </c>
      <c r="K25" s="191">
        <f>IFERROR(J25/$I$38,0)</f>
        <v/>
      </c>
      <c r="L25" s="192">
        <f>IFERROR($L$38*K25,0)</f>
        <v/>
      </c>
      <c r="M25" s="1" t="n"/>
      <c r="N25" s="1" t="n"/>
      <c r="O25" s="1" t="n"/>
    </row>
    <row r="26" ht="15" customHeight="1">
      <c r="A26" s="187" t="n"/>
      <c r="B26" s="188" t="n"/>
      <c r="C26" s="189" t="n"/>
      <c r="D26" s="190" t="inlineStr">
        <is>
          <t>Automatische creatie</t>
        </is>
      </c>
      <c r="E26" s="193" t="n"/>
      <c r="F26" s="175" t="n"/>
      <c r="G26" s="177" t="n">
        <v>0</v>
      </c>
      <c r="H26" s="178">
        <f>IFERROR($H$38/$G$38*G26,0)</f>
        <v/>
      </c>
      <c r="I26" s="186">
        <f>IFERROR(G26-H26,0)</f>
        <v/>
      </c>
      <c r="J26" s="186">
        <f>IFERROR(I26+(($I$6+$I$7)*I26/($I$38-($I$6+$I$7))),0)</f>
        <v/>
      </c>
      <c r="K26" s="191">
        <f>IFERROR(J26/$I$38,0)</f>
        <v/>
      </c>
      <c r="L26" s="192">
        <f>IFERROR($L$38*K26,0)</f>
        <v/>
      </c>
      <c r="M26" s="1" t="n"/>
      <c r="N26" s="1" t="n"/>
      <c r="O26" s="1" t="n"/>
    </row>
    <row r="27" ht="15" customHeight="1">
      <c r="A27" s="187" t="n"/>
      <c r="B27" s="188" t="n"/>
      <c r="C27" s="189" t="n"/>
      <c r="D27" s="190" t="inlineStr">
        <is>
          <t>Automatische creatie</t>
        </is>
      </c>
      <c r="E27" s="193" t="n"/>
      <c r="F27" s="175" t="n"/>
      <c r="G27" s="177" t="n">
        <v>0</v>
      </c>
      <c r="H27" s="178">
        <f>IFERROR($H$38/$G$38*G27,0)</f>
        <v/>
      </c>
      <c r="I27" s="186">
        <f>IFERROR(G27-H27,0)</f>
        <v/>
      </c>
      <c r="J27" s="186">
        <f>IFERROR(I27+(($I$6+$I$7)*I27/($I$38-($I$6+$I$7))),0)</f>
        <v/>
      </c>
      <c r="K27" s="191">
        <f>IFERROR(J27/$I$38,0)</f>
        <v/>
      </c>
      <c r="L27" s="192">
        <f>IFERROR($L$38*K27,0)</f>
        <v/>
      </c>
      <c r="M27" s="1" t="n"/>
      <c r="N27" s="1" t="n"/>
      <c r="O27" s="1" t="n"/>
    </row>
    <row r="28" ht="15" customHeight="1">
      <c r="A28" s="187" t="n"/>
      <c r="B28" s="188" t="n"/>
      <c r="C28" s="189" t="n"/>
      <c r="D28" s="190" t="inlineStr">
        <is>
          <t>Automatische creatie</t>
        </is>
      </c>
      <c r="E28" s="175" t="n"/>
      <c r="F28" s="175" t="n"/>
      <c r="G28" s="177" t="n">
        <v>0</v>
      </c>
      <c r="H28" s="178">
        <f>IFERROR($H$38/$G$38*G28,0)</f>
        <v/>
      </c>
      <c r="I28" s="186">
        <f>IFERROR(G28-H28,0)</f>
        <v/>
      </c>
      <c r="J28" s="186">
        <f>IFERROR(I28+(($I$6+$I$7)*I28/($I$38-($I$6+$I$7))),0)</f>
        <v/>
      </c>
      <c r="K28" s="191">
        <f>IFERROR(J28/$I$38,0)</f>
        <v/>
      </c>
      <c r="L28" s="192">
        <f>IFERROR($L$38*K28,0)</f>
        <v/>
      </c>
      <c r="M28" s="1" t="n"/>
      <c r="N28" s="1" t="n"/>
      <c r="O28" s="1" t="n"/>
    </row>
    <row r="29" ht="15" customHeight="1">
      <c r="A29" s="187" t="n"/>
      <c r="B29" s="188" t="n"/>
      <c r="C29" s="189" t="n"/>
      <c r="D29" s="190" t="inlineStr">
        <is>
          <t>Automatische creatie</t>
        </is>
      </c>
      <c r="E29" s="175" t="n"/>
      <c r="F29" s="175" t="n"/>
      <c r="G29" s="177" t="n">
        <v>0</v>
      </c>
      <c r="H29" s="178">
        <f>IFERROR($H$38/$G$38*G29,0)</f>
        <v/>
      </c>
      <c r="I29" s="186">
        <f>IFERROR(G29-H29,0)</f>
        <v/>
      </c>
      <c r="J29" s="186">
        <f>IFERROR(I29+(($I$6+$I$7)*I29/($I$38-($I$6+$I$7))),0)</f>
        <v/>
      </c>
      <c r="K29" s="191">
        <f>IFERROR(J29/$I$38,0)</f>
        <v/>
      </c>
      <c r="L29" s="192">
        <f>IFERROR($L$38*K29,0)</f>
        <v/>
      </c>
      <c r="M29" s="1" t="n"/>
      <c r="N29" s="1" t="n"/>
      <c r="O29" s="1" t="n"/>
    </row>
    <row r="30" ht="15" customHeight="1">
      <c r="A30" s="187" t="n"/>
      <c r="B30" s="188" t="n"/>
      <c r="C30" s="189" t="n"/>
      <c r="D30" s="190" t="inlineStr">
        <is>
          <t>Automatische creatie</t>
        </is>
      </c>
      <c r="E30" s="175" t="n"/>
      <c r="F30" s="175" t="n"/>
      <c r="G30" s="177" t="n">
        <v>0</v>
      </c>
      <c r="H30" s="178">
        <f>IFERROR($H$38/$G$38*G30,0)</f>
        <v/>
      </c>
      <c r="I30" s="186">
        <f>IFERROR(G30-H30,0)</f>
        <v/>
      </c>
      <c r="J30" s="186">
        <f>IFERROR(I30+(($I$6+$I$7)*I30/($I$38-($I$6+$I$7))),0)</f>
        <v/>
      </c>
      <c r="K30" s="191">
        <f>IFERROR(J30/$I$38,0)</f>
        <v/>
      </c>
      <c r="L30" s="192">
        <f>IFERROR($L$38*K30,0)</f>
        <v/>
      </c>
      <c r="M30" s="1" t="n"/>
      <c r="N30" s="1" t="n"/>
      <c r="O30" s="1" t="n"/>
    </row>
    <row r="31" ht="15" customHeight="1">
      <c r="A31" s="187" t="n"/>
      <c r="B31" s="188" t="n"/>
      <c r="C31" s="189" t="n"/>
      <c r="D31" s="190" t="inlineStr">
        <is>
          <t>Automatische creatie</t>
        </is>
      </c>
      <c r="E31" s="175" t="n"/>
      <c r="F31" s="175" t="n"/>
      <c r="G31" s="177" t="n">
        <v>0</v>
      </c>
      <c r="H31" s="178">
        <f>IFERROR($H$38/$G$38*G31,0)</f>
        <v/>
      </c>
      <c r="I31" s="186">
        <f>IFERROR(G31-H31,0)</f>
        <v/>
      </c>
      <c r="J31" s="186">
        <f>IFERROR(I31+(($I$6+$I$7)*I31/($I$38-($I$6+$I$7))),0)</f>
        <v/>
      </c>
      <c r="K31" s="191">
        <f>IFERROR(J31/$I$38,0)</f>
        <v/>
      </c>
      <c r="L31" s="192">
        <f>IFERROR($L$38*K31,0)</f>
        <v/>
      </c>
      <c r="M31" s="1" t="n"/>
      <c r="N31" s="1" t="n"/>
      <c r="O31" s="1" t="n"/>
    </row>
    <row r="32" ht="15" customHeight="1">
      <c r="A32" s="187" t="n"/>
      <c r="B32" s="188" t="n"/>
      <c r="C32" s="189" t="n"/>
      <c r="D32" s="190" t="inlineStr">
        <is>
          <t>Automatische creatie</t>
        </is>
      </c>
      <c r="E32" s="175" t="n"/>
      <c r="F32" s="175" t="n"/>
      <c r="G32" s="177" t="n">
        <v>0</v>
      </c>
      <c r="H32" s="178">
        <f>IFERROR($H$38/$G$38*G32,0)</f>
        <v/>
      </c>
      <c r="I32" s="186">
        <f>IFERROR(G32-H32,0)</f>
        <v/>
      </c>
      <c r="J32" s="186">
        <f>IFERROR(I32+(($I$6+$I$7)*I32/($I$38-($I$6+$I$7))),0)</f>
        <v/>
      </c>
      <c r="K32" s="191">
        <f>IFERROR(J32/$I$38,0)</f>
        <v/>
      </c>
      <c r="L32" s="192">
        <f>IFERROR($L$38*K32,0)</f>
        <v/>
      </c>
      <c r="M32" s="1" t="n"/>
      <c r="N32" s="1" t="n"/>
      <c r="O32" s="1" t="n"/>
    </row>
    <row r="33" ht="15" customHeight="1">
      <c r="A33" s="187" t="n"/>
      <c r="B33" s="188" t="n"/>
      <c r="C33" s="189" t="n"/>
      <c r="D33" s="190" t="inlineStr">
        <is>
          <t>Automatische creatie</t>
        </is>
      </c>
      <c r="E33" s="175" t="n"/>
      <c r="F33" s="175" t="n"/>
      <c r="G33" s="177" t="n">
        <v>0</v>
      </c>
      <c r="H33" s="178">
        <f>IFERROR($H$38/$G$38*G33,0)</f>
        <v/>
      </c>
      <c r="I33" s="186">
        <f>IFERROR(G33-H33,0)</f>
        <v/>
      </c>
      <c r="J33" s="186">
        <f>IFERROR(I33+(($I$6+$I$7)*I33/($I$38-($I$6+$I$7))),0)</f>
        <v/>
      </c>
      <c r="K33" s="191">
        <f>IFERROR(J33/$I$38,0)</f>
        <v/>
      </c>
      <c r="L33" s="192">
        <f>IFERROR($L$38*K33,0)</f>
        <v/>
      </c>
      <c r="M33" s="1" t="n"/>
      <c r="N33" s="1" t="n"/>
      <c r="O33" s="1" t="n"/>
    </row>
    <row r="34" ht="15" customHeight="1">
      <c r="A34" s="187" t="n"/>
      <c r="B34" s="188" t="n"/>
      <c r="C34" s="189" t="n"/>
      <c r="D34" s="190" t="inlineStr">
        <is>
          <t>Automatische creatie</t>
        </is>
      </c>
      <c r="E34" s="175" t="n"/>
      <c r="F34" s="175" t="n"/>
      <c r="G34" s="177" t="n">
        <v>0</v>
      </c>
      <c r="H34" s="178">
        <f>IFERROR($H$38/$G$38*G34,0)</f>
        <v/>
      </c>
      <c r="I34" s="186">
        <f>IFERROR(G34-H34,0)</f>
        <v/>
      </c>
      <c r="J34" s="186">
        <f>IFERROR(I34+(($I$6+$I$7)*I34/($I$38-($I$6+$I$7))),0)</f>
        <v/>
      </c>
      <c r="K34" s="191">
        <f>IFERROR(J34/$I$38,0)</f>
        <v/>
      </c>
      <c r="L34" s="192">
        <f>IFERROR($L$38*K34,0)</f>
        <v/>
      </c>
      <c r="M34" s="1" t="n"/>
      <c r="N34" s="1" t="n"/>
      <c r="O34" s="1" t="n"/>
    </row>
    <row r="35" ht="15" customHeight="1">
      <c r="A35" s="187" t="n"/>
      <c r="B35" s="188" t="n"/>
      <c r="C35" s="189" t="n"/>
      <c r="D35" s="190" t="inlineStr">
        <is>
          <t>Automatische creatie</t>
        </is>
      </c>
      <c r="E35" s="175" t="n"/>
      <c r="F35" s="175" t="n"/>
      <c r="G35" s="177" t="n">
        <v>0</v>
      </c>
      <c r="H35" s="178">
        <f>IFERROR($H$38/$G$38*G35,0)</f>
        <v/>
      </c>
      <c r="I35" s="186">
        <f>IFERROR(G35-H35,0)</f>
        <v/>
      </c>
      <c r="J35" s="186">
        <f>IFERROR(I35+(($I$6+$I$7)*I35/($I$38-($I$6+$I$7))),0)</f>
        <v/>
      </c>
      <c r="K35" s="191">
        <f>IFERROR(J35/$I$38,0)</f>
        <v/>
      </c>
      <c r="L35" s="192">
        <f>IFERROR($L$38*K35,0)</f>
        <v/>
      </c>
      <c r="M35" s="1" t="n"/>
      <c r="N35" s="1" t="n"/>
      <c r="O35" s="1" t="n"/>
    </row>
    <row r="36" ht="15" customHeight="1">
      <c r="A36" s="187" t="n"/>
      <c r="B36" s="188" t="n"/>
      <c r="C36" s="189" t="n"/>
      <c r="D36" s="190" t="inlineStr">
        <is>
          <t>Automatische creatie</t>
        </is>
      </c>
      <c r="E36" s="175" t="n"/>
      <c r="F36" s="175" t="n"/>
      <c r="G36" s="177" t="n">
        <v>0</v>
      </c>
      <c r="H36" s="178">
        <f>IFERROR($H$38/$G$38*G36,0)</f>
        <v/>
      </c>
      <c r="I36" s="186">
        <f>IFERROR(G36-H36,0)</f>
        <v/>
      </c>
      <c r="J36" s="186">
        <f>IFERROR(I36+(($I$6+$I$7)*I36/($I$38-($I$6+$I$7))),0)</f>
        <v/>
      </c>
      <c r="K36" s="191">
        <f>IFERROR(J36/$I$38,0)</f>
        <v/>
      </c>
      <c r="L36" s="192">
        <f>IFERROR($L$38*K36,0)</f>
        <v/>
      </c>
      <c r="M36" s="1" t="n"/>
      <c r="N36" s="1" t="n"/>
      <c r="O36" s="1" t="n"/>
    </row>
    <row r="37" ht="15.75" customHeight="1">
      <c r="A37" s="195" t="n"/>
      <c r="B37" s="196" t="n"/>
      <c r="C37" s="197" t="n"/>
      <c r="D37" s="190" t="inlineStr">
        <is>
          <t>Automatische creatie</t>
        </is>
      </c>
      <c r="E37" s="198" t="n"/>
      <c r="F37" s="198" t="n"/>
      <c r="G37" s="199" t="n">
        <v>0</v>
      </c>
      <c r="H37" s="178">
        <f>IFERROR($H$38/$G$38*G37,0)</f>
        <v/>
      </c>
      <c r="I37" s="200">
        <f>IFERROR(G37-H37,0)</f>
        <v/>
      </c>
      <c r="J37" s="186">
        <f>IFERROR(I37+(($I$6+$I$7)*I37/($I$38-($I$6+$I$7))),0)</f>
        <v/>
      </c>
      <c r="K37" s="191">
        <f>IFERROR(J37/$I$38,0)</f>
        <v/>
      </c>
      <c r="L37" s="192">
        <f>IFERROR($L$38*K37,0)</f>
        <v/>
      </c>
      <c r="M37" s="1" t="n"/>
      <c r="N37" s="1" t="n"/>
      <c r="O37" s="1" t="n"/>
    </row>
    <row r="38" ht="15.75" customHeight="1">
      <c r="A38" s="201" t="n"/>
      <c r="B38" s="202" t="n"/>
      <c r="C38" s="202" t="n"/>
      <c r="D38" s="203" t="n"/>
      <c r="E38" s="203" t="n"/>
      <c r="F38" s="204">
        <f>F6</f>
        <v/>
      </c>
      <c r="G38" s="205">
        <f>SUM(G6:G37)</f>
        <v/>
      </c>
      <c r="H38" s="206">
        <f>'Costfile - Invoice discussion'!P102</f>
        <v/>
      </c>
      <c r="I38" s="207">
        <f>SUM(I6:I37)</f>
        <v/>
      </c>
      <c r="J38" s="207">
        <f>SUM(J6:J37)</f>
        <v/>
      </c>
      <c r="K38" s="208">
        <f>SUM(K6:K37)</f>
        <v/>
      </c>
      <c r="L38" s="209">
        <f>'Costfile - Invoice discussion'!H105</f>
        <v/>
      </c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210" t="n"/>
      <c r="H40" s="1" t="n"/>
      <c r="I40" s="210" t="n"/>
      <c r="J40" s="210" t="n"/>
      <c r="K40" s="1" t="n"/>
      <c r="L40" s="210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210" t="n"/>
      <c r="H41" s="1" t="n"/>
      <c r="I41" s="210" t="n"/>
      <c r="J41" s="210" t="n"/>
      <c r="K41" s="1" t="n"/>
      <c r="L41" s="210" t="n"/>
      <c r="M41" s="1" t="n"/>
      <c r="N41" s="1" t="n"/>
      <c r="O41" s="1" t="n"/>
    </row>
    <row r="42">
      <c r="A42" s="211" t="inlineStr">
        <is>
          <t>TD-standard Detailcodes</t>
        </is>
      </c>
      <c r="B42" s="212" t="n"/>
      <c r="C42" s="212" t="n"/>
      <c r="D42" s="212" t="n"/>
      <c r="E42" s="1" t="n"/>
      <c r="F42" s="1" t="n"/>
      <c r="G42" s="210" t="n"/>
      <c r="H42" s="1" t="n"/>
      <c r="I42" s="210" t="n"/>
      <c r="J42" s="210" t="n"/>
      <c r="K42" s="1" t="n"/>
      <c r="L42" s="210" t="n"/>
      <c r="M42" s="1" t="n"/>
      <c r="N42" s="1" t="n"/>
      <c r="O42" s="1" t="n"/>
    </row>
    <row r="43">
      <c r="A43" s="213" t="inlineStr">
        <is>
          <t>1xx</t>
        </is>
      </c>
      <c r="B43" s="214" t="inlineStr">
        <is>
          <t>Rebuild Project</t>
        </is>
      </c>
      <c r="C43" s="215" t="n"/>
      <c r="D43" s="216" t="n"/>
      <c r="E43" s="1" t="n"/>
      <c r="F43" s="217" t="inlineStr">
        <is>
          <t>Instructions Technical department</t>
        </is>
      </c>
      <c r="G43" s="210" t="n"/>
      <c r="H43" s="1" t="n"/>
      <c r="I43" s="210" t="n"/>
      <c r="J43" s="210" t="n"/>
      <c r="K43" s="1" t="n"/>
      <c r="L43" s="210" t="n"/>
      <c r="M43" s="1" t="n"/>
      <c r="N43" s="1" t="n"/>
      <c r="O43" s="1" t="n"/>
    </row>
    <row r="44">
      <c r="A44" s="218" t="inlineStr">
        <is>
          <t>00X</t>
        </is>
      </c>
      <c r="B44" s="219" t="inlineStr">
        <is>
          <t>Damage Claims</t>
        </is>
      </c>
      <c r="C44" s="220" t="n"/>
      <c r="D44" s="221" t="n"/>
      <c r="E44" s="1" t="n"/>
      <c r="F44" s="1" t="n"/>
      <c r="G44" s="210" t="inlineStr">
        <is>
          <t>*</t>
        </is>
      </c>
      <c r="H44" s="52" t="inlineStr">
        <is>
          <t>Enter heading (vessel, shipyard, purchase order and invoice number)</t>
        </is>
      </c>
      <c r="I44" s="210" t="n"/>
      <c r="J44" s="210" t="n"/>
      <c r="K44" s="1" t="n"/>
      <c r="L44" s="210" t="n"/>
      <c r="M44" s="1" t="n"/>
      <c r="N44" s="1" t="n"/>
      <c r="O44" s="1" t="n"/>
    </row>
    <row r="45">
      <c r="A45" s="218" t="inlineStr">
        <is>
          <t>097</t>
        </is>
      </c>
      <c r="B45" s="219" t="inlineStr">
        <is>
          <t>Damages general</t>
        </is>
      </c>
      <c r="C45" s="220" t="n"/>
      <c r="D45" s="221" t="n"/>
      <c r="E45" s="1" t="n"/>
      <c r="F45" s="1" t="n"/>
      <c r="G45" s="210" t="inlineStr">
        <is>
          <t>*</t>
        </is>
      </c>
      <c r="H45" s="52" t="inlineStr">
        <is>
          <t>Enter General cost shipyard (Excel will make a pro rata split over de different repair jobs)</t>
        </is>
      </c>
      <c r="I45" s="210" t="n"/>
      <c r="J45" s="210" t="n"/>
      <c r="K45" s="1" t="n"/>
      <c r="L45" s="210" t="n"/>
      <c r="M45" s="1" t="n"/>
      <c r="N45" s="1" t="n"/>
      <c r="O45" s="1" t="n"/>
    </row>
    <row r="46">
      <c r="A46" s="218" t="inlineStr">
        <is>
          <t>300</t>
        </is>
      </c>
      <c r="B46" s="219" t="inlineStr">
        <is>
          <t>W &amp; T Pumps</t>
        </is>
      </c>
      <c r="C46" s="220" t="n"/>
      <c r="D46" s="221" t="n"/>
      <c r="E46" s="1" t="n"/>
      <c r="F46" s="1" t="n"/>
      <c r="G46" s="210" t="inlineStr">
        <is>
          <t>*</t>
        </is>
      </c>
      <c r="H46" s="52" t="inlineStr">
        <is>
          <t>If applicable, enter Non recoverable taxes and VAT  (Excel will make a pro rata split over de different repair jobs)</t>
        </is>
      </c>
      <c r="I46" s="210" t="n"/>
      <c r="J46" s="210" t="n"/>
      <c r="K46" s="1" t="n"/>
      <c r="L46" s="210" t="n"/>
      <c r="M46" s="1" t="n"/>
      <c r="N46" s="1" t="n"/>
      <c r="O46" s="1" t="n"/>
    </row>
    <row r="47">
      <c r="A47" s="218" t="inlineStr">
        <is>
          <t>301</t>
        </is>
      </c>
      <c r="B47" s="219" t="inlineStr">
        <is>
          <t>W &amp; T Cutters</t>
        </is>
      </c>
      <c r="C47" s="220" t="n"/>
      <c r="D47" s="221" t="n"/>
      <c r="E47" s="1" t="n"/>
      <c r="F47" s="1" t="n"/>
      <c r="G47" s="210" t="inlineStr">
        <is>
          <t>*</t>
        </is>
      </c>
      <c r="H47" s="52" t="inlineStr">
        <is>
          <t>Enter costplace, costcarrier, detailcode, currency, original amount and description for the repair jobs</t>
        </is>
      </c>
      <c r="I47" s="210" t="n"/>
      <c r="J47" s="210" t="n"/>
      <c r="K47" s="1" t="n"/>
      <c r="L47" s="210" t="n"/>
      <c r="M47" s="1" t="n"/>
      <c r="N47" s="1" t="n"/>
      <c r="O47" s="1" t="n"/>
    </row>
    <row r="48">
      <c r="A48" s="218" t="inlineStr">
        <is>
          <t>302</t>
        </is>
      </c>
      <c r="B48" s="219" t="inlineStr">
        <is>
          <t>W &amp; T Dragheads (only for hoppers)</t>
        </is>
      </c>
      <c r="C48" s="220" t="n"/>
      <c r="D48" s="221" t="n"/>
      <c r="E48" s="1" t="n"/>
      <c r="F48" s="1" t="n"/>
      <c r="G48" s="210" t="inlineStr">
        <is>
          <t>*</t>
        </is>
      </c>
      <c r="H48" s="52" t="inlineStr">
        <is>
          <t>Blue items are formulas (cannot be changed)</t>
        </is>
      </c>
      <c r="I48" s="210" t="n"/>
      <c r="J48" s="210" t="n"/>
      <c r="K48" s="1" t="n"/>
      <c r="L48" s="210" t="n"/>
      <c r="M48" s="1" t="n"/>
      <c r="N48" s="1" t="n"/>
      <c r="O48" s="1" t="n"/>
    </row>
    <row r="49">
      <c r="A49" s="218" t="inlineStr">
        <is>
          <t>303</t>
        </is>
      </c>
      <c r="B49" s="219" t="inlineStr">
        <is>
          <t>W &amp; T Piping</t>
        </is>
      </c>
      <c r="C49" s="220" t="n"/>
      <c r="D49" s="221" t="n"/>
      <c r="E49" s="1" t="n"/>
      <c r="F49" s="1" t="n"/>
      <c r="G49" s="210" t="inlineStr">
        <is>
          <t>*</t>
        </is>
      </c>
      <c r="H49" s="52" t="inlineStr">
        <is>
          <t>Cell H39: Fill in total reduction amount if applicable</t>
        </is>
      </c>
      <c r="I49" s="210" t="n"/>
      <c r="J49" s="210" t="n"/>
      <c r="K49" s="1" t="n"/>
      <c r="L49" s="210" t="n"/>
      <c r="M49" s="1" t="n"/>
      <c r="N49" s="1" t="n"/>
      <c r="O49" s="1" t="n"/>
    </row>
    <row r="50">
      <c r="A50" s="218" t="inlineStr">
        <is>
          <t>304</t>
        </is>
      </c>
      <c r="B50" s="219" t="inlineStr">
        <is>
          <t>W &amp; T Others</t>
        </is>
      </c>
      <c r="C50" s="220" t="n"/>
      <c r="D50" s="221" t="n"/>
      <c r="E50" s="1" t="n"/>
      <c r="F50" s="1" t="n"/>
      <c r="G50" s="210" t="n"/>
      <c r="H50" s="1" t="n"/>
      <c r="I50" s="210" t="n"/>
      <c r="J50" s="210" t="n"/>
      <c r="K50" s="1" t="n"/>
      <c r="L50" s="210" t="n"/>
      <c r="M50" s="1" t="n"/>
      <c r="N50" s="1" t="n"/>
      <c r="O50" s="1" t="n"/>
    </row>
    <row r="51">
      <c r="A51" s="218" t="n">
        <v>307</v>
      </c>
      <c r="B51" s="219" t="inlineStr">
        <is>
          <t>W &amp; T Specific (only for exception use of Hopper barges/rockbarges)</t>
        </is>
      </c>
      <c r="C51" s="220" t="n"/>
      <c r="D51" s="221" t="n"/>
      <c r="E51" s="1" t="n"/>
      <c r="F51" s="217" t="inlineStr">
        <is>
          <t>Instructions Accounting department</t>
        </is>
      </c>
      <c r="G51" s="210" t="n"/>
      <c r="H51" s="1" t="n"/>
      <c r="I51" s="210" t="n"/>
      <c r="J51" s="210" t="n"/>
      <c r="K51" s="1" t="n"/>
      <c r="L51" s="210" t="n"/>
      <c r="M51" s="1" t="n"/>
      <c r="N51" s="1" t="n"/>
      <c r="O51" s="1" t="n"/>
    </row>
    <row r="52">
      <c r="A52" s="218" t="inlineStr">
        <is>
          <t>400</t>
        </is>
      </c>
      <c r="B52" s="219" t="inlineStr">
        <is>
          <t>M&amp;R Main drives</t>
        </is>
      </c>
      <c r="C52" s="220" t="n"/>
      <c r="D52" s="221" t="n"/>
      <c r="E52" s="1" t="n"/>
      <c r="F52" s="1" t="n"/>
      <c r="G52" s="210" t="inlineStr">
        <is>
          <t>*</t>
        </is>
      </c>
      <c r="H52" s="52" t="inlineStr">
        <is>
          <t>Cell L39: Fill in final Amount EUR from AXI. (Excel will apply the allocation key over this amount)</t>
        </is>
      </c>
      <c r="I52" s="210" t="n"/>
      <c r="J52" s="210" t="n"/>
      <c r="K52" s="1" t="n"/>
      <c r="L52" s="210" t="n"/>
      <c r="M52" s="1" t="n"/>
      <c r="N52" s="1" t="n"/>
      <c r="O52" s="1" t="n"/>
    </row>
    <row r="53">
      <c r="A53" s="218" t="inlineStr">
        <is>
          <t>401</t>
        </is>
      </c>
      <c r="B53" s="219" t="inlineStr">
        <is>
          <t>M&amp;R Auxilliary drives</t>
        </is>
      </c>
      <c r="C53" s="220" t="n"/>
      <c r="D53" s="221" t="n"/>
      <c r="E53" s="1" t="n"/>
      <c r="F53" s="1" t="n"/>
      <c r="G53" s="210" t="inlineStr">
        <is>
          <t>*</t>
        </is>
      </c>
      <c r="H53" s="52" t="inlineStr">
        <is>
          <t>Book the final amount EUR per analytical combination</t>
        </is>
      </c>
      <c r="I53" s="210" t="n"/>
      <c r="J53" s="210" t="n"/>
      <c r="K53" s="1" t="n"/>
      <c r="L53" s="210" t="n"/>
      <c r="M53" s="1" t="n"/>
      <c r="N53" s="1" t="n"/>
      <c r="O53" s="1" t="n"/>
    </row>
    <row r="54">
      <c r="A54" s="218" t="inlineStr">
        <is>
          <t>402</t>
        </is>
      </c>
      <c r="B54" s="219" t="inlineStr">
        <is>
          <t>M&amp;R Electrical</t>
        </is>
      </c>
      <c r="C54" s="220" t="n"/>
      <c r="D54" s="221" t="n"/>
      <c r="E54" s="1" t="n"/>
      <c r="F54" s="1" t="n"/>
      <c r="G54" s="210" t="n"/>
      <c r="H54" s="1" t="n"/>
      <c r="I54" s="210" t="n"/>
      <c r="J54" s="210" t="n"/>
      <c r="K54" s="1" t="n"/>
      <c r="L54" s="210" t="n"/>
      <c r="M54" s="1" t="n"/>
      <c r="N54" s="1" t="n"/>
      <c r="O54" s="1" t="n"/>
    </row>
    <row r="55">
      <c r="A55" s="218" t="inlineStr">
        <is>
          <t>403</t>
        </is>
      </c>
      <c r="B55" s="219" t="inlineStr">
        <is>
          <t>M&amp;R Hydraulic</t>
        </is>
      </c>
      <c r="C55" s="220" t="n"/>
      <c r="D55" s="221" t="n"/>
      <c r="E55" s="1" t="n"/>
      <c r="F55" s="1" t="n"/>
      <c r="G55" s="210" t="n"/>
      <c r="H55" s="1" t="n"/>
      <c r="I55" s="210" t="n"/>
      <c r="J55" s="210" t="n"/>
      <c r="K55" s="1" t="n"/>
      <c r="L55" s="210" t="n"/>
      <c r="M55" s="1" t="n"/>
      <c r="N55" s="1" t="n"/>
      <c r="O55" s="1" t="n"/>
    </row>
    <row r="56">
      <c r="A56" s="218" t="inlineStr">
        <is>
          <t>404</t>
        </is>
      </c>
      <c r="B56" s="219" t="inlineStr">
        <is>
          <t>M&amp;R Hoisting Equipment</t>
        </is>
      </c>
      <c r="C56" s="220" t="n"/>
      <c r="D56" s="221" t="n"/>
      <c r="E56" s="1" t="n"/>
      <c r="F56" s="1" t="n"/>
      <c r="G56" s="210" t="n"/>
      <c r="H56" s="1" t="n"/>
      <c r="I56" s="210" t="n"/>
      <c r="J56" s="210" t="n"/>
      <c r="K56" s="1" t="n"/>
      <c r="L56" s="210" t="n"/>
      <c r="M56" s="1" t="n"/>
      <c r="N56" s="1" t="n"/>
      <c r="O56" s="1" t="n"/>
    </row>
    <row r="57">
      <c r="A57" s="218" t="inlineStr">
        <is>
          <t>405</t>
        </is>
      </c>
      <c r="B57" s="219" t="inlineStr">
        <is>
          <t>M&amp;R Engine Room</t>
        </is>
      </c>
      <c r="C57" s="220" t="n"/>
      <c r="D57" s="221" t="n"/>
      <c r="E57" s="1" t="n"/>
      <c r="F57" s="1" t="n"/>
      <c r="G57" s="210" t="n"/>
      <c r="H57" s="1" t="n"/>
      <c r="I57" s="210" t="n"/>
      <c r="J57" s="210" t="n"/>
      <c r="K57" s="1" t="n"/>
      <c r="L57" s="210" t="n"/>
      <c r="M57" s="1" t="n"/>
      <c r="N57" s="1" t="n"/>
      <c r="O57" s="1" t="n"/>
    </row>
    <row r="58">
      <c r="A58" s="218" t="inlineStr">
        <is>
          <t>406</t>
        </is>
      </c>
      <c r="B58" s="219" t="inlineStr">
        <is>
          <t>M&amp;R Dredging Equipment</t>
        </is>
      </c>
      <c r="C58" s="220" t="n"/>
      <c r="D58" s="221" t="n"/>
      <c r="E58" s="1" t="n"/>
      <c r="F58" s="1" t="n"/>
      <c r="G58" s="210" t="n"/>
      <c r="H58" s="1" t="n"/>
      <c r="I58" s="210" t="n"/>
      <c r="J58" s="210" t="n"/>
      <c r="K58" s="1" t="n"/>
      <c r="L58" s="210" t="n"/>
      <c r="M58" s="1" t="n"/>
      <c r="N58" s="1" t="n"/>
      <c r="O58" s="1" t="n"/>
    </row>
    <row r="59">
      <c r="A59" s="218" t="inlineStr">
        <is>
          <t>407</t>
        </is>
      </c>
      <c r="B59" s="219" t="inlineStr">
        <is>
          <t>M&amp;R Hull</t>
        </is>
      </c>
      <c r="C59" s="220" t="n"/>
      <c r="D59" s="221" t="n"/>
      <c r="E59" s="1" t="n"/>
      <c r="F59" s="1" t="n"/>
      <c r="G59" s="210" t="n"/>
      <c r="H59" s="1" t="n"/>
      <c r="I59" s="210" t="n"/>
      <c r="J59" s="210" t="n"/>
      <c r="K59" s="1" t="n"/>
      <c r="L59" s="210" t="n"/>
      <c r="M59" s="1" t="n"/>
      <c r="N59" s="1" t="n"/>
      <c r="O59" s="1" t="n"/>
    </row>
    <row r="60">
      <c r="A60" s="218" t="inlineStr">
        <is>
          <t>408</t>
        </is>
      </c>
      <c r="B60" s="219" t="inlineStr">
        <is>
          <t>M&amp;R Hopper</t>
        </is>
      </c>
      <c r="C60" s="220" t="n"/>
      <c r="D60" s="221" t="n"/>
      <c r="E60" s="1" t="n"/>
      <c r="F60" s="1" t="n"/>
      <c r="G60" s="210" t="n"/>
      <c r="H60" s="1" t="n"/>
      <c r="I60" s="210" t="n"/>
      <c r="J60" s="210" t="n"/>
      <c r="K60" s="1" t="n"/>
      <c r="L60" s="210" t="n"/>
      <c r="M60" s="1" t="n"/>
      <c r="N60" s="1" t="n"/>
      <c r="O60" s="1" t="n"/>
    </row>
    <row r="61">
      <c r="A61" s="218" t="inlineStr">
        <is>
          <t>409</t>
        </is>
      </c>
      <c r="B61" s="219" t="inlineStr">
        <is>
          <t>M&amp;R Accommodation</t>
        </is>
      </c>
      <c r="C61" s="220" t="n"/>
      <c r="D61" s="221" t="n"/>
      <c r="E61" s="1" t="n"/>
      <c r="F61" s="1" t="n"/>
      <c r="G61" s="210" t="n"/>
      <c r="H61" s="1" t="n"/>
      <c r="I61" s="210" t="n"/>
      <c r="J61" s="210" t="n"/>
      <c r="K61" s="1" t="n"/>
      <c r="L61" s="210" t="n"/>
      <c r="M61" s="1" t="n"/>
      <c r="N61" s="1" t="n"/>
      <c r="O61" s="1" t="n"/>
    </row>
    <row r="62">
      <c r="A62" s="218" t="n">
        <v>411</v>
      </c>
      <c r="B62" s="219" t="inlineStr">
        <is>
          <t>M&amp;R General</t>
        </is>
      </c>
      <c r="C62" s="220" t="n"/>
      <c r="D62" s="221" t="n"/>
      <c r="E62" s="1" t="n"/>
      <c r="F62" s="1" t="n"/>
      <c r="G62" s="210" t="n"/>
      <c r="H62" s="1" t="n"/>
      <c r="I62" s="210" t="n"/>
      <c r="J62" s="210" t="n"/>
      <c r="K62" s="1" t="n"/>
      <c r="L62" s="210" t="n"/>
      <c r="M62" s="1" t="n"/>
      <c r="N62" s="1" t="n"/>
      <c r="O62" s="1" t="n"/>
    </row>
    <row r="63">
      <c r="A63" s="218" t="n">
        <v>416</v>
      </c>
      <c r="B63" s="219" t="inlineStr">
        <is>
          <t>Misc Modifications</t>
        </is>
      </c>
      <c r="C63" s="220" t="n"/>
      <c r="D63" s="221" t="n"/>
      <c r="E63" s="1" t="n"/>
      <c r="F63" s="1" t="n"/>
      <c r="G63" s="210" t="n"/>
      <c r="H63" s="1" t="n"/>
      <c r="I63" s="210" t="n"/>
      <c r="J63" s="210" t="n"/>
      <c r="K63" s="1" t="n"/>
      <c r="L63" s="210" t="n"/>
      <c r="M63" s="1" t="n"/>
      <c r="N63" s="1" t="n"/>
      <c r="O63" s="1" t="n"/>
    </row>
    <row r="64">
      <c r="A64" s="218" t="n">
        <v>420</v>
      </c>
      <c r="B64" s="219" t="inlineStr">
        <is>
          <t>M&amp;R Stone-dumping Equipment</t>
        </is>
      </c>
      <c r="C64" s="220" t="n"/>
      <c r="D64" s="221" t="n"/>
      <c r="E64" s="1" t="n"/>
      <c r="F64" s="1" t="n"/>
      <c r="G64" s="210" t="n"/>
      <c r="H64" s="1" t="n"/>
      <c r="I64" s="210" t="n"/>
      <c r="J64" s="210" t="n"/>
      <c r="K64" s="1" t="n"/>
      <c r="L64" s="210" t="n"/>
      <c r="M64" s="1" t="n"/>
      <c r="N64" s="1" t="n"/>
      <c r="O64" s="1" t="n"/>
    </row>
    <row r="65">
      <c r="A65" s="218" t="n">
        <v>421</v>
      </c>
      <c r="B65" s="219" t="inlineStr">
        <is>
          <t>M&amp;R Remote Operated vehicles (ROV)</t>
        </is>
      </c>
      <c r="C65" s="220" t="n"/>
      <c r="D65" s="221" t="n"/>
      <c r="E65" s="1" t="n"/>
      <c r="F65" s="1" t="n"/>
      <c r="G65" s="210" t="n"/>
      <c r="H65" s="1" t="n"/>
      <c r="I65" s="210" t="n"/>
      <c r="J65" s="210" t="n"/>
      <c r="K65" s="1" t="n"/>
      <c r="L65" s="210" t="n"/>
      <c r="M65" s="1" t="n"/>
      <c r="N65" s="1" t="n"/>
      <c r="O65" s="1" t="n"/>
    </row>
    <row r="66">
      <c r="A66" s="218" t="n">
        <v>424</v>
      </c>
      <c r="B66" s="219" t="inlineStr">
        <is>
          <t xml:space="preserve">M&amp;R Jack-up Equipment </t>
        </is>
      </c>
      <c r="C66" s="220" t="n"/>
      <c r="D66" s="221" t="n"/>
      <c r="E66" s="1" t="n"/>
      <c r="F66" s="1" t="n"/>
      <c r="G66" s="210" t="n"/>
      <c r="H66" s="1" t="n"/>
      <c r="I66" s="210" t="n"/>
      <c r="J66" s="210" t="n"/>
      <c r="K66" s="1" t="n"/>
      <c r="L66" s="210" t="n"/>
      <c r="M66" s="1" t="n"/>
      <c r="N66" s="1" t="n"/>
      <c r="O66" s="1" t="n"/>
    </row>
    <row r="67">
      <c r="A67" s="218" t="n">
        <v>425</v>
      </c>
      <c r="B67" s="219" t="inlineStr">
        <is>
          <t>M&amp;R Trencher</t>
        </is>
      </c>
      <c r="C67" s="220" t="n"/>
      <c r="D67" s="221" t="n"/>
      <c r="E67" s="1" t="n"/>
      <c r="F67" s="1" t="n"/>
      <c r="G67" s="210" t="n"/>
      <c r="H67" s="1" t="n"/>
      <c r="I67" s="210" t="n"/>
      <c r="J67" s="210" t="n"/>
      <c r="K67" s="1" t="n"/>
      <c r="L67" s="210" t="n"/>
      <c r="M67" s="1" t="n"/>
      <c r="N67" s="1" t="n"/>
      <c r="O67" s="1" t="n"/>
    </row>
    <row r="68">
      <c r="A68" s="218" t="inlineStr">
        <is>
          <t>430</t>
        </is>
      </c>
      <c r="B68" s="219" t="inlineStr">
        <is>
          <t>M&amp;R Excavator</t>
        </is>
      </c>
      <c r="C68" s="220" t="n"/>
      <c r="D68" s="221" t="n"/>
      <c r="E68" s="1" t="n"/>
      <c r="F68" s="1" t="n"/>
      <c r="G68" s="210" t="n"/>
      <c r="H68" s="1" t="n"/>
      <c r="I68" s="210" t="n"/>
      <c r="J68" s="210" t="n"/>
      <c r="K68" s="1" t="n"/>
      <c r="L68" s="210" t="n"/>
      <c r="M68" s="1" t="n"/>
      <c r="N68" s="1" t="n"/>
      <c r="O68" s="1" t="n"/>
    </row>
    <row r="69">
      <c r="A69" s="218" t="n">
        <v>435</v>
      </c>
      <c r="B69" s="219" t="inlineStr">
        <is>
          <t>M&amp;R Cable layer</t>
        </is>
      </c>
      <c r="C69" s="220" t="n"/>
      <c r="D69" s="221" t="n"/>
      <c r="E69" s="1" t="n"/>
      <c r="F69" s="1" t="n"/>
      <c r="G69" s="210" t="n"/>
      <c r="H69" s="1" t="n"/>
      <c r="I69" s="210" t="n"/>
      <c r="J69" s="210" t="n"/>
      <c r="K69" s="1" t="n"/>
      <c r="L69" s="210" t="n"/>
      <c r="M69" s="1" t="n"/>
      <c r="N69" s="1" t="n"/>
      <c r="O69" s="1" t="n"/>
    </row>
    <row r="70">
      <c r="A70" s="218" t="n">
        <v>449</v>
      </c>
      <c r="B70" s="219" t="inlineStr">
        <is>
          <t>M&amp;R Safety, Classification &amp; Inspection</t>
        </is>
      </c>
      <c r="C70" s="220" t="n"/>
      <c r="D70" s="221" t="n"/>
      <c r="E70" s="1" t="n"/>
      <c r="F70" s="1" t="n"/>
      <c r="G70" s="210" t="n"/>
      <c r="H70" s="1" t="n"/>
      <c r="I70" s="210" t="n"/>
      <c r="J70" s="210" t="n"/>
      <c r="K70" s="1" t="n"/>
      <c r="L70" s="210" t="n"/>
      <c r="M70" s="1" t="n"/>
      <c r="N70" s="1" t="n"/>
      <c r="O70" s="1" t="n"/>
    </row>
    <row r="71">
      <c r="A71" s="218" t="n">
        <v>882</v>
      </c>
      <c r="B71" s="219" t="inlineStr">
        <is>
          <t>Security Vessels</t>
        </is>
      </c>
      <c r="C71" s="220" t="n"/>
      <c r="D71" s="221" t="n"/>
      <c r="E71" s="1" t="n"/>
      <c r="F71" s="1" t="n"/>
      <c r="G71" s="210" t="n"/>
      <c r="H71" s="1" t="n"/>
      <c r="I71" s="210" t="n"/>
      <c r="J71" s="210" t="n"/>
      <c r="K71" s="1" t="n"/>
      <c r="L71" s="210" t="n"/>
      <c r="M71" s="1" t="n"/>
      <c r="N71" s="1" t="n"/>
      <c r="O71" s="1" t="n"/>
    </row>
    <row r="72">
      <c r="A72" s="218" t="n">
        <v>452</v>
      </c>
      <c r="B72" s="219" t="inlineStr">
        <is>
          <t>Transport</t>
        </is>
      </c>
      <c r="C72" s="220" t="n"/>
      <c r="D72" s="221" t="n"/>
      <c r="E72" s="1" t="n"/>
      <c r="F72" s="1" t="n"/>
      <c r="G72" s="210" t="n"/>
      <c r="H72" s="1" t="n"/>
      <c r="I72" s="210" t="n"/>
      <c r="J72" s="210" t="n"/>
      <c r="K72" s="1" t="n"/>
      <c r="L72" s="210" t="n"/>
      <c r="M72" s="1" t="n"/>
      <c r="N72" s="1" t="n"/>
      <c r="O72" s="1" t="n"/>
    </row>
    <row r="73">
      <c r="A73" s="218" t="n">
        <v>453</v>
      </c>
      <c r="B73" s="219" t="inlineStr">
        <is>
          <t>Fuel</t>
        </is>
      </c>
      <c r="C73" s="220" t="n"/>
      <c r="D73" s="221" t="n"/>
      <c r="E73" s="1" t="n"/>
      <c r="F73" s="1" t="n"/>
      <c r="G73" s="210" t="n"/>
      <c r="H73" s="1" t="n"/>
      <c r="I73" s="210" t="n"/>
      <c r="J73" s="210" t="n"/>
      <c r="K73" s="1" t="n"/>
      <c r="L73" s="210" t="n"/>
      <c r="M73" s="1" t="n"/>
      <c r="N73" s="1" t="n"/>
      <c r="O73" s="1" t="n"/>
    </row>
    <row r="74">
      <c r="A74" s="218" t="n">
        <v>463</v>
      </c>
      <c r="B74" s="219" t="inlineStr">
        <is>
          <t>Fresh water supplies</t>
        </is>
      </c>
      <c r="C74" s="220" t="n"/>
      <c r="D74" s="221" t="n"/>
      <c r="E74" s="1" t="n"/>
      <c r="F74" s="1" t="n"/>
      <c r="G74" s="210" t="n"/>
      <c r="H74" s="1" t="n"/>
      <c r="I74" s="210" t="n"/>
      <c r="J74" s="210" t="n"/>
      <c r="K74" s="1" t="n"/>
      <c r="L74" s="210" t="n"/>
      <c r="M74" s="1" t="n"/>
      <c r="N74" s="1" t="n"/>
      <c r="O74" s="1" t="n"/>
    </row>
    <row r="75">
      <c r="A75" s="218" t="n">
        <v>464</v>
      </c>
      <c r="B75" s="219" t="inlineStr">
        <is>
          <t>Waste disposal &amp; collection</t>
        </is>
      </c>
      <c r="C75" s="220" t="n"/>
      <c r="D75" s="221" t="n"/>
      <c r="E75" s="1" t="n"/>
      <c r="F75" s="1" t="n"/>
      <c r="G75" s="210" t="n"/>
      <c r="H75" s="1" t="n"/>
      <c r="I75" s="210" t="n"/>
      <c r="J75" s="210" t="n"/>
      <c r="K75" s="1" t="n"/>
      <c r="L75" s="210" t="n"/>
      <c r="M75" s="1" t="n"/>
      <c r="N75" s="1" t="n"/>
      <c r="O75" s="1" t="n"/>
    </row>
    <row r="76">
      <c r="A76" s="222" t="n">
        <v>484</v>
      </c>
      <c r="B76" s="223" t="inlineStr">
        <is>
          <t>Shore power supply</t>
        </is>
      </c>
      <c r="C76" s="224" t="n"/>
      <c r="D76" s="225" t="n"/>
      <c r="E76" s="1" t="n"/>
      <c r="F76" s="1" t="n"/>
      <c r="G76" s="210" t="n"/>
      <c r="H76" s="1" t="n"/>
      <c r="I76" s="210" t="n"/>
      <c r="J76" s="210" t="n"/>
      <c r="K76" s="1" t="n"/>
      <c r="L76" s="210" t="n"/>
      <c r="M76" s="1" t="n"/>
      <c r="N76" s="1" t="n"/>
      <c r="O76" s="1" t="n"/>
    </row>
    <row r="77">
      <c r="A77" s="21" t="n"/>
      <c r="B77" s="1" t="n"/>
      <c r="C77" s="1" t="n"/>
      <c r="D77" s="1" t="n"/>
      <c r="E77" s="1" t="n"/>
      <c r="F77" s="1" t="n"/>
      <c r="G77" s="210" t="n"/>
      <c r="H77" s="1" t="n"/>
      <c r="I77" s="210" t="n"/>
      <c r="J77" s="210" t="n"/>
      <c r="K77" s="1" t="n"/>
      <c r="L77" s="210" t="n"/>
      <c r="M77" s="1" t="n"/>
      <c r="N77" s="1" t="n"/>
      <c r="O77" s="1" t="n"/>
    </row>
    <row r="78">
      <c r="A78" s="21" t="n"/>
      <c r="B78" s="1" t="n"/>
      <c r="C78" s="1" t="n"/>
      <c r="D78" s="1" t="n"/>
      <c r="E78" s="1" t="n"/>
      <c r="F78" s="1" t="n"/>
      <c r="G78" s="210" t="n"/>
      <c r="H78" s="1" t="n"/>
      <c r="I78" s="210" t="n"/>
      <c r="J78" s="210" t="n"/>
      <c r="K78" s="1" t="n"/>
      <c r="L78" s="210" t="n"/>
      <c r="M78" s="1" t="n"/>
      <c r="N78" s="1" t="n"/>
      <c r="O78" s="1" t="n"/>
    </row>
    <row r="79">
      <c r="A79" s="226" t="inlineStr">
        <is>
          <t xml:space="preserve">For projects or any other cost allocation </t>
        </is>
      </c>
      <c r="B79" s="226" t="n"/>
      <c r="C79" s="227" t="n"/>
      <c r="D79" s="228" t="n"/>
      <c r="E79" s="1" t="n"/>
      <c r="F79" s="1" t="n"/>
      <c r="G79" s="210" t="n"/>
      <c r="H79" s="1" t="n"/>
      <c r="I79" s="210" t="n"/>
      <c r="J79" s="210" t="n"/>
      <c r="K79" s="1" t="n"/>
      <c r="L79" s="210" t="n"/>
      <c r="M79" s="1" t="n"/>
      <c r="N79" s="1" t="n"/>
      <c r="O79" s="1" t="n"/>
    </row>
    <row r="80">
      <c r="A80" s="229" t="inlineStr">
        <is>
          <t>fill in cost place, carrier and detail code</t>
        </is>
      </c>
      <c r="B80" s="230" t="n"/>
      <c r="C80" s="231" t="n"/>
      <c r="D80" s="232" t="n"/>
      <c r="E80" s="1" t="n"/>
      <c r="F80" s="1" t="n"/>
      <c r="G80" s="210" t="n"/>
      <c r="H80" s="1" t="n"/>
      <c r="I80" s="210" t="n"/>
      <c r="J80" s="210" t="n"/>
      <c r="K80" s="1" t="n"/>
      <c r="L80" s="210" t="n"/>
      <c r="M80" s="1" t="n"/>
      <c r="N80" s="1" t="n"/>
      <c r="O80" s="1" t="n"/>
    </row>
    <row r="81">
      <c r="A81" s="233" t="inlineStr">
        <is>
          <t>Fill in the comment Column for further clarification</t>
        </is>
      </c>
      <c r="B81" s="234" t="n"/>
      <c r="C81" s="235" t="n"/>
      <c r="D81" s="236" t="n"/>
      <c r="E81" s="1" t="n"/>
      <c r="F81" s="1" t="n"/>
      <c r="G81" s="210" t="n"/>
      <c r="H81" s="1" t="n"/>
      <c r="I81" s="210" t="n"/>
      <c r="J81" s="210" t="n"/>
      <c r="K81" s="1" t="n"/>
      <c r="L81" s="210" t="n"/>
      <c r="M81" s="1" t="n"/>
      <c r="N81" s="1" t="n"/>
      <c r="O81" s="1" t="n"/>
    </row>
  </sheetData>
  <autoFilter ref="A5:L5"/>
  <mergeCells count="3">
    <mergeCell ref="A42:D42"/>
    <mergeCell ref="A1:L4"/>
    <mergeCell ref="M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zoomScale="105" workbookViewId="0">
      <selection activeCell="A1" sqref="A1"/>
    </sheetView>
  </sheetViews>
  <sheetFormatPr baseColWidth="8" defaultRowHeight="15"/>
  <cols>
    <col width="41" customWidth="1" min="2" max="2"/>
    <col width="13.5703125" customWidth="1" min="3" max="3"/>
    <col width="11.5703125" customWidth="1" min="4" max="4"/>
    <col width="13.7109375" customWidth="1" min="5" max="5"/>
    <col width="23.5703125" customWidth="1" min="6" max="6"/>
    <col width="56" customWidth="1" min="7" max="7"/>
    <col width="15" customWidth="1" min="10" max="10"/>
    <col width="17.140625" customWidth="1" min="11" max="11"/>
    <col width="11.28515625" customWidth="1" min="12" max="12"/>
    <col width="11.28515625" customWidth="1" min="13" max="13"/>
    <col width="12" customWidth="1" min="14" max="14"/>
    <col width="12" customWidth="1" min="15" max="15"/>
    <col width="10.28515625" customWidth="1" min="16" max="16"/>
  </cols>
  <sheetData>
    <row r="1">
      <c r="M1" s="237" t="inlineStr">
        <is>
          <t>Last change</t>
        </is>
      </c>
      <c r="N1" s="238">
        <f>LastChange</f>
        <v/>
      </c>
    </row>
    <row r="2">
      <c r="A2" s="1" t="n"/>
      <c r="B2" s="217" t="inlineStr">
        <is>
          <t>STAGING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1" t="n"/>
      <c r="C3" s="1" t="n"/>
      <c r="D3" s="1" t="n"/>
      <c r="E3" s="1" t="n"/>
      <c r="F3" s="52" t="inlineStr">
        <is>
          <t xml:space="preserve">indication of Job? </t>
        </is>
      </c>
      <c r="G3" s="1" t="n"/>
      <c r="H3" s="1" t="n"/>
      <c r="I3" s="1" t="n"/>
      <c r="J3" s="217" t="inlineStr">
        <is>
          <t>AREA</t>
        </is>
      </c>
      <c r="K3" s="1" t="n"/>
      <c r="L3" s="217" t="inlineStr">
        <is>
          <t>AREA</t>
        </is>
      </c>
      <c r="M3" s="217" t="inlineStr">
        <is>
          <t>PRICE/M3</t>
        </is>
      </c>
      <c r="N3" s="217" t="inlineStr">
        <is>
          <t>TOTAL</t>
        </is>
      </c>
      <c r="O3" s="1" t="n"/>
      <c r="P3" s="1" t="n"/>
    </row>
    <row r="4">
      <c r="A4" s="1" t="n"/>
      <c r="B4" s="52" t="n"/>
      <c r="C4" s="52" t="n"/>
      <c r="D4" s="239" t="n"/>
      <c r="E4" s="239">
        <f>IF(C4="","",C4*D4)</f>
        <v/>
      </c>
      <c r="F4" s="52" t="n"/>
      <c r="G4" s="52" t="n"/>
      <c r="H4" s="52" t="n"/>
      <c r="I4" s="1" t="n"/>
      <c r="J4" s="52" t="n"/>
      <c r="K4" s="1" t="n"/>
      <c r="L4" s="240" t="n"/>
      <c r="M4" s="239" t="n"/>
      <c r="N4" s="239">
        <f>IF(L4="","",L4*M4)</f>
        <v/>
      </c>
      <c r="O4" s="239" t="n"/>
      <c r="P4" s="239" t="n"/>
    </row>
    <row r="5">
      <c r="A5" s="1" t="n"/>
      <c r="B5" s="52" t="n"/>
      <c r="C5" s="52" t="n"/>
      <c r="D5" s="239" t="n"/>
      <c r="E5" s="239">
        <f>IF(C5="","",C5*D5)</f>
        <v/>
      </c>
      <c r="F5" s="52" t="n"/>
      <c r="G5" s="52" t="n"/>
      <c r="H5" s="52" t="n"/>
      <c r="I5" s="1" t="n"/>
      <c r="J5" s="52" t="n"/>
      <c r="K5" s="1" t="n"/>
      <c r="L5" s="240" t="n"/>
      <c r="M5" s="239" t="n"/>
      <c r="N5" s="239">
        <f>IF(L5="","",L5*M5)</f>
        <v/>
      </c>
      <c r="O5" s="239" t="n"/>
      <c r="P5" s="239" t="n"/>
    </row>
    <row r="6">
      <c r="A6" s="1" t="n"/>
      <c r="B6" s="52" t="n"/>
      <c r="C6" s="52" t="n"/>
      <c r="D6" s="239" t="n"/>
      <c r="E6" s="239">
        <f>IF(C6="","",C6*D6)</f>
        <v/>
      </c>
      <c r="F6" s="52" t="n"/>
      <c r="G6" s="52" t="n"/>
      <c r="H6" s="52" t="n"/>
      <c r="I6" s="1" t="n"/>
      <c r="J6" s="52" t="n"/>
      <c r="K6" s="1" t="n"/>
      <c r="L6" s="240" t="n"/>
      <c r="M6" s="239" t="n"/>
      <c r="N6" s="239">
        <f>IF(L6="","",L6*M6)</f>
        <v/>
      </c>
      <c r="O6" s="239" t="n"/>
      <c r="P6" s="239" t="n"/>
    </row>
    <row r="7">
      <c r="A7" s="1" t="n"/>
      <c r="B7" s="52" t="n"/>
      <c r="C7" s="52" t="n"/>
      <c r="D7" s="239" t="n"/>
      <c r="E7" s="239">
        <f>IF(C7="","",C7*D7)</f>
        <v/>
      </c>
      <c r="F7" s="52" t="n"/>
      <c r="G7" s="52" t="n"/>
      <c r="H7" s="52" t="n"/>
      <c r="I7" s="1" t="n"/>
      <c r="J7" s="52" t="n"/>
      <c r="L7" s="240" t="n"/>
      <c r="M7" s="239" t="n"/>
      <c r="N7" s="239">
        <f>IF(L7="","",L7*M7)</f>
        <v/>
      </c>
      <c r="O7" s="239" t="n"/>
      <c r="P7" s="239" t="n"/>
    </row>
    <row r="8">
      <c r="A8" s="1" t="n"/>
      <c r="B8" s="52" t="n"/>
      <c r="C8" s="52" t="n"/>
      <c r="D8" s="239" t="n"/>
      <c r="E8" s="239">
        <f>IF(C8="","",C8*D8)</f>
        <v/>
      </c>
      <c r="F8" s="52" t="n"/>
      <c r="G8" s="52" t="n"/>
      <c r="H8" s="52" t="n"/>
      <c r="I8" s="1" t="n"/>
      <c r="J8" s="52" t="n"/>
      <c r="K8" s="1" t="n"/>
      <c r="L8" s="240" t="n"/>
      <c r="M8" s="239" t="n"/>
      <c r="N8" s="239">
        <f>IF(L8="","",L8*M8)</f>
        <v/>
      </c>
      <c r="O8" s="239" t="n"/>
      <c r="P8" s="239" t="n"/>
    </row>
    <row r="9">
      <c r="A9" s="1" t="n"/>
      <c r="B9" s="52" t="n"/>
      <c r="C9" s="52" t="n"/>
      <c r="D9" s="239" t="n"/>
      <c r="E9" s="239">
        <f>IF(C9="","",C9*D9)</f>
        <v/>
      </c>
      <c r="F9" s="52" t="n"/>
      <c r="G9" s="52" t="n"/>
      <c r="H9" s="52" t="n"/>
      <c r="I9" s="1" t="n"/>
      <c r="J9" s="52" t="n"/>
      <c r="K9" s="1" t="n"/>
      <c r="L9" s="240" t="n"/>
      <c r="M9" s="239" t="n"/>
      <c r="N9" s="239">
        <f>IF(L9="","",L9*M9)</f>
        <v/>
      </c>
      <c r="O9" s="239" t="n"/>
      <c r="P9" s="239" t="n"/>
    </row>
    <row r="10">
      <c r="A10" s="1" t="n"/>
      <c r="B10" s="52" t="n"/>
      <c r="C10" s="52" t="n"/>
      <c r="D10" s="239" t="n"/>
      <c r="E10" s="239">
        <f>IF(C10="","",C10*D10)</f>
        <v/>
      </c>
      <c r="F10" s="52" t="n"/>
      <c r="G10" s="52" t="n"/>
      <c r="H10" s="52" t="n"/>
      <c r="I10" s="1" t="n"/>
      <c r="J10" s="52" t="n"/>
      <c r="K10" s="1" t="n"/>
      <c r="L10" s="240" t="n"/>
      <c r="M10" s="239" t="n"/>
      <c r="N10" s="239">
        <f>IF(L10="","",L10*M10)</f>
        <v/>
      </c>
      <c r="O10" s="239" t="n"/>
      <c r="P10" s="239" t="n"/>
    </row>
    <row r="11">
      <c r="A11" s="1" t="n"/>
      <c r="B11" s="52" t="n"/>
      <c r="C11" s="52" t="n"/>
      <c r="D11" s="239" t="n"/>
      <c r="E11" s="239">
        <f>IF(C11="","",C11*D11)</f>
        <v/>
      </c>
      <c r="F11" s="52" t="n"/>
      <c r="G11" s="52" t="n"/>
      <c r="H11" s="52" t="n"/>
      <c r="I11" s="1" t="n"/>
      <c r="J11" s="52" t="n"/>
      <c r="K11" s="1" t="n"/>
      <c r="L11" s="240" t="n"/>
      <c r="M11" s="239" t="n"/>
      <c r="N11" s="239">
        <f>IF(L11="","",L11*M11)</f>
        <v/>
      </c>
      <c r="O11" s="239" t="n"/>
      <c r="P11" s="239" t="n"/>
    </row>
    <row r="12">
      <c r="A12" s="1" t="n"/>
      <c r="B12" s="52" t="n"/>
      <c r="C12" s="52" t="n"/>
      <c r="D12" s="239" t="n"/>
      <c r="E12" s="239">
        <f>IF(C12="","",C12*D12)</f>
        <v/>
      </c>
      <c r="F12" s="52" t="n"/>
      <c r="G12" s="52" t="n"/>
      <c r="H12" s="52" t="n"/>
      <c r="I12" s="1" t="n"/>
      <c r="J12" s="52" t="n"/>
      <c r="K12" s="1" t="n"/>
      <c r="L12" s="240" t="n"/>
      <c r="M12" s="239" t="n"/>
      <c r="N12" s="239">
        <f>IF(L12="","",L12*M12)</f>
        <v/>
      </c>
      <c r="O12" s="239" t="n"/>
      <c r="P12" s="239" t="n"/>
    </row>
    <row r="13">
      <c r="A13" s="1" t="n"/>
      <c r="B13" s="52" t="n"/>
      <c r="C13" s="52" t="n"/>
      <c r="D13" s="239" t="n"/>
      <c r="E13" s="239">
        <f>IF(C13="","",C13*D13)</f>
        <v/>
      </c>
      <c r="F13" s="52" t="n"/>
      <c r="G13" s="52" t="n"/>
      <c r="H13" s="52" t="n"/>
      <c r="I13" s="1" t="n"/>
      <c r="J13" s="52" t="n"/>
      <c r="K13" s="1" t="n"/>
      <c r="L13" s="240" t="n"/>
      <c r="M13" s="239" t="n"/>
      <c r="N13" s="239">
        <f>IF(L13="","",L13*M13)</f>
        <v/>
      </c>
      <c r="O13" s="239" t="n"/>
      <c r="P13" s="239" t="n"/>
    </row>
    <row r="14">
      <c r="A14" s="1" t="n"/>
      <c r="B14" s="52" t="n"/>
      <c r="C14" s="52" t="n"/>
      <c r="D14" s="239" t="n"/>
      <c r="E14" s="239">
        <f>IF(C14="","",C14*D14)</f>
        <v/>
      </c>
      <c r="F14" s="52" t="n"/>
      <c r="G14" s="52" t="n"/>
      <c r="H14" s="52" t="n"/>
      <c r="I14" s="1" t="n"/>
      <c r="J14" s="52" t="n"/>
      <c r="K14" s="1" t="n"/>
      <c r="L14" s="240" t="n"/>
      <c r="M14" s="239" t="n"/>
      <c r="N14" s="239">
        <f>IF(L14="","",L14*M14)</f>
        <v/>
      </c>
      <c r="O14" s="239" t="n"/>
      <c r="P14" s="239" t="n"/>
    </row>
    <row r="15">
      <c r="A15" s="1" t="n"/>
      <c r="B15" s="52" t="n"/>
      <c r="C15" s="52" t="n"/>
      <c r="D15" s="239" t="n"/>
      <c r="E15" s="239">
        <f>IF(C15="","",C15*D15)</f>
        <v/>
      </c>
      <c r="F15" s="52" t="n"/>
      <c r="G15" s="52" t="n"/>
      <c r="H15" s="52" t="n"/>
      <c r="I15" s="1" t="n"/>
      <c r="J15" s="52" t="n"/>
      <c r="K15" s="1" t="n"/>
      <c r="L15" s="240" t="n"/>
      <c r="M15" s="239" t="n"/>
      <c r="N15" s="239">
        <f>IF(L15="","",L15*M15)</f>
        <v/>
      </c>
      <c r="O15" s="239" t="n"/>
      <c r="P15" s="239" t="n"/>
    </row>
    <row r="16">
      <c r="A16" s="1" t="n"/>
      <c r="B16" s="52" t="n"/>
      <c r="C16" s="52" t="n"/>
      <c r="D16" s="239" t="n"/>
      <c r="E16" s="239">
        <f>IF(C16="","",C16*D16)</f>
        <v/>
      </c>
      <c r="F16" s="52" t="n"/>
      <c r="G16" s="52" t="n"/>
      <c r="H16" s="52" t="n"/>
      <c r="I16" s="1" t="n"/>
      <c r="J16" s="52" t="n"/>
      <c r="K16" s="1" t="n"/>
      <c r="L16" s="240" t="n"/>
      <c r="M16" s="239" t="n"/>
      <c r="N16" s="239">
        <f>IF(L16="","",L16*M16)</f>
        <v/>
      </c>
      <c r="O16" s="239" t="n"/>
      <c r="P16" s="239" t="n"/>
    </row>
    <row r="17">
      <c r="A17" s="1" t="n"/>
      <c r="B17" s="52" t="n"/>
      <c r="C17" s="52" t="n"/>
      <c r="D17" s="239" t="n"/>
      <c r="E17" s="239">
        <f>IF(C17="","",C17*D17)</f>
        <v/>
      </c>
      <c r="F17" s="52" t="n"/>
      <c r="G17" s="52" t="n"/>
      <c r="H17" s="52" t="n"/>
      <c r="I17" s="1" t="n"/>
      <c r="J17" s="52" t="n"/>
      <c r="K17" s="1" t="n"/>
      <c r="L17" s="240" t="n"/>
      <c r="M17" s="239" t="n"/>
      <c r="N17" s="239">
        <f>IF(L17="","",L17*M17)</f>
        <v/>
      </c>
      <c r="O17" s="239" t="n"/>
      <c r="P17" s="239" t="n"/>
    </row>
    <row r="18">
      <c r="A18" s="1" t="n"/>
      <c r="B18" s="52" t="n"/>
      <c r="C18" s="52" t="n"/>
      <c r="D18" s="239" t="n"/>
      <c r="E18" s="239">
        <f>IF(C18="","",C18*D18)</f>
        <v/>
      </c>
      <c r="F18" s="52" t="n"/>
      <c r="G18" s="52" t="n"/>
      <c r="H18" s="52" t="n"/>
      <c r="I18" s="1" t="n"/>
      <c r="J18" s="52" t="n"/>
      <c r="K18" s="1" t="n"/>
      <c r="L18" s="240" t="n"/>
      <c r="M18" s="239" t="n"/>
      <c r="N18" s="239">
        <f>IF(L18="","",L18*M18)</f>
        <v/>
      </c>
      <c r="O18" s="239" t="n"/>
      <c r="P18" s="239" t="n"/>
    </row>
    <row r="19">
      <c r="A19" s="1" t="n"/>
      <c r="B19" s="52" t="n"/>
      <c r="C19" s="52" t="n"/>
      <c r="D19" s="239" t="n"/>
      <c r="E19" s="239">
        <f>IF(C19="","",C19*D19)</f>
        <v/>
      </c>
      <c r="F19" s="52" t="n"/>
      <c r="G19" s="52" t="n"/>
      <c r="H19" s="52" t="n"/>
      <c r="I19" s="1" t="n"/>
      <c r="J19" s="52" t="n"/>
      <c r="K19" s="1" t="n"/>
      <c r="L19" s="240" t="n"/>
      <c r="M19" s="239" t="n"/>
      <c r="N19" s="239">
        <f>IF(L19="","",L19*M19)</f>
        <v/>
      </c>
      <c r="O19" s="239" t="n"/>
      <c r="P19" s="239" t="n"/>
    </row>
    <row r="20">
      <c r="A20" s="1" t="n"/>
      <c r="B20" s="52" t="n"/>
      <c r="C20" s="52" t="n"/>
      <c r="D20" s="239" t="n"/>
      <c r="E20" s="239">
        <f>IF(C20="","",C20*D20)</f>
        <v/>
      </c>
      <c r="F20" s="52" t="n"/>
      <c r="G20" s="52" t="n"/>
      <c r="H20" s="52" t="n"/>
      <c r="I20" s="1" t="n"/>
      <c r="J20" s="52" t="n"/>
      <c r="K20" s="1" t="n"/>
      <c r="L20" s="240" t="n"/>
      <c r="M20" s="239" t="n"/>
      <c r="N20" s="239">
        <f>IF(L20="","",L20*M20)</f>
        <v/>
      </c>
      <c r="O20" s="239" t="n"/>
      <c r="P20" s="239" t="n"/>
    </row>
    <row r="21">
      <c r="A21" s="1" t="n"/>
      <c r="B21" s="52" t="n"/>
      <c r="C21" s="52" t="n"/>
      <c r="D21" s="239" t="n"/>
      <c r="E21" s="239">
        <f>IF(C21="","",C21*D21)</f>
        <v/>
      </c>
      <c r="F21" s="52" t="n"/>
      <c r="G21" s="52" t="n"/>
      <c r="H21" s="52" t="n"/>
      <c r="I21" s="1" t="n"/>
      <c r="J21" s="52" t="n"/>
      <c r="K21" s="1" t="n"/>
      <c r="L21" s="240" t="n"/>
      <c r="M21" s="239" t="n"/>
      <c r="N21" s="239">
        <f>IF(L21="","",L21*M21)</f>
        <v/>
      </c>
      <c r="O21" s="239" t="n"/>
      <c r="P21" s="239" t="n"/>
    </row>
    <row r="22">
      <c r="A22" s="1" t="n"/>
      <c r="B22" s="52" t="n"/>
      <c r="C22" s="52" t="n"/>
      <c r="D22" s="239" t="n"/>
      <c r="E22" s="239">
        <f>IF(C22="","",C22*D22)</f>
        <v/>
      </c>
      <c r="F22" s="52" t="n"/>
      <c r="G22" s="52" t="n"/>
      <c r="H22" s="52" t="n"/>
      <c r="I22" s="1" t="n"/>
      <c r="J22" s="52" t="n"/>
      <c r="K22" s="1" t="n"/>
      <c r="L22" s="240" t="n"/>
      <c r="M22" s="239" t="n"/>
      <c r="N22" s="239">
        <f>IF(L22="","",L22*M22)</f>
        <v/>
      </c>
      <c r="O22" s="239" t="n"/>
      <c r="P22" s="239" t="n"/>
    </row>
    <row r="23">
      <c r="A23" s="1" t="n"/>
      <c r="B23" s="52" t="n"/>
      <c r="C23" s="52" t="n"/>
      <c r="D23" s="239" t="n"/>
      <c r="E23" s="239">
        <f>IF(C23="","",C23*D23)</f>
        <v/>
      </c>
      <c r="F23" s="52" t="n"/>
      <c r="G23" s="52" t="n"/>
      <c r="H23" s="52" t="n"/>
      <c r="I23" s="1" t="n"/>
      <c r="J23" s="52" t="n"/>
      <c r="K23" s="1" t="n"/>
      <c r="L23" s="240" t="n"/>
      <c r="M23" s="239" t="n"/>
      <c r="N23" s="239">
        <f>IF(L23="","",L23*M23)</f>
        <v/>
      </c>
      <c r="O23" s="239" t="n"/>
      <c r="P23" s="239" t="n"/>
    </row>
    <row r="24">
      <c r="A24" s="1" t="n"/>
      <c r="B24" s="52" t="n"/>
      <c r="C24" s="52" t="n"/>
      <c r="D24" s="239" t="n"/>
      <c r="E24" s="239">
        <f>IF(C24="","",C24*D24)</f>
        <v/>
      </c>
      <c r="F24" s="52" t="n"/>
      <c r="G24" s="52" t="n"/>
      <c r="H24" s="52" t="n"/>
      <c r="I24" s="1" t="n"/>
      <c r="J24" s="52" t="n"/>
      <c r="K24" s="1" t="n"/>
      <c r="L24" s="240" t="n"/>
      <c r="M24" s="239" t="n"/>
      <c r="N24" s="239">
        <f>IF(L24="","",L24*M24)</f>
        <v/>
      </c>
      <c r="O24" s="239" t="n"/>
      <c r="P24" s="239" t="n"/>
    </row>
    <row r="25">
      <c r="A25" s="1" t="n"/>
      <c r="B25" s="52" t="n"/>
      <c r="C25" s="52" t="n"/>
      <c r="D25" s="239" t="n"/>
      <c r="E25" s="239">
        <f>IF(C25="","",C25*D25)</f>
        <v/>
      </c>
      <c r="F25" s="52" t="n"/>
      <c r="G25" s="52" t="n"/>
      <c r="H25" s="52" t="n"/>
      <c r="I25" s="1" t="n"/>
      <c r="J25" s="52" t="n"/>
      <c r="K25" s="1" t="n"/>
      <c r="L25" s="240" t="n"/>
      <c r="M25" s="239" t="n"/>
      <c r="N25" s="239">
        <f>IF(L25="","",L25*M25)</f>
        <v/>
      </c>
      <c r="O25" s="239" t="n"/>
      <c r="P25" s="239" t="n"/>
    </row>
    <row r="26">
      <c r="A26" s="1" t="n"/>
      <c r="B26" s="52" t="n"/>
      <c r="C26" s="52" t="n"/>
      <c r="D26" s="239" t="n"/>
      <c r="E26" s="239">
        <f>IF(C26="","",C26*D26)</f>
        <v/>
      </c>
      <c r="F26" s="52" t="n"/>
      <c r="G26" s="52" t="n"/>
      <c r="H26" s="52" t="n"/>
      <c r="I26" s="1" t="n"/>
      <c r="J26" s="52" t="n"/>
      <c r="K26" s="1" t="n"/>
      <c r="L26" s="240" t="n"/>
      <c r="M26" s="239" t="n"/>
      <c r="N26" s="239">
        <f>IF(L26="","",L26*M26)</f>
        <v/>
      </c>
      <c r="O26" s="239" t="n"/>
      <c r="P26" s="239" t="n"/>
    </row>
    <row r="27">
      <c r="A27" s="1" t="n"/>
      <c r="B27" s="52" t="n"/>
      <c r="C27" s="52" t="n"/>
      <c r="D27" s="239" t="n"/>
      <c r="E27" s="239">
        <f>IF(C27="","",C27*D27)</f>
        <v/>
      </c>
      <c r="F27" s="52" t="n"/>
      <c r="G27" s="52" t="n"/>
      <c r="H27" s="52" t="n"/>
      <c r="I27" s="1" t="n"/>
      <c r="J27" s="52" t="n"/>
      <c r="K27" s="1" t="n"/>
      <c r="L27" s="240" t="n"/>
      <c r="M27" s="239" t="n"/>
      <c r="N27" s="239">
        <f>IF(L27="","",L27*M27)</f>
        <v/>
      </c>
      <c r="O27" s="239" t="n"/>
      <c r="P27" s="239" t="n"/>
    </row>
    <row r="28">
      <c r="A28" s="1" t="n"/>
      <c r="B28" s="52" t="n"/>
      <c r="C28" s="52" t="n"/>
      <c r="D28" s="239" t="n"/>
      <c r="E28" s="239">
        <f>IF(C28="","",C28*D28)</f>
        <v/>
      </c>
      <c r="F28" s="52" t="n"/>
      <c r="G28" s="52" t="n"/>
      <c r="H28" s="52" t="n"/>
      <c r="I28" s="1" t="n"/>
      <c r="J28" s="52" t="n"/>
      <c r="K28" s="1" t="n"/>
      <c r="L28" s="240" t="n"/>
      <c r="M28" s="239" t="n"/>
      <c r="N28" s="239">
        <f>IF(L28="","",L28*M28)</f>
        <v/>
      </c>
      <c r="O28" s="239" t="n"/>
      <c r="P28" s="239" t="n"/>
    </row>
    <row r="29">
      <c r="A29" s="1" t="n"/>
      <c r="B29" s="52" t="n"/>
      <c r="C29" s="52" t="n"/>
      <c r="D29" s="239" t="n"/>
      <c r="E29" s="239">
        <f>IF(C29="","",C29*D29)</f>
        <v/>
      </c>
      <c r="F29" s="52" t="n"/>
      <c r="G29" s="52" t="n"/>
      <c r="H29" s="52" t="n"/>
      <c r="I29" s="1" t="n"/>
      <c r="J29" s="52" t="n"/>
      <c r="K29" s="1" t="n"/>
      <c r="L29" s="240" t="n"/>
      <c r="M29" s="239" t="n"/>
      <c r="N29" s="239">
        <f>IF(L29="","",L29*M29)</f>
        <v/>
      </c>
      <c r="O29" s="239" t="n"/>
      <c r="P29" s="239" t="n"/>
    </row>
    <row r="30">
      <c r="A30" s="1" t="n"/>
      <c r="B30" s="52" t="n"/>
      <c r="C30" s="52" t="n"/>
      <c r="D30" s="239" t="n"/>
      <c r="E30" s="239">
        <f>IF(C30="","",C30*D30)</f>
        <v/>
      </c>
      <c r="F30" s="52" t="n"/>
      <c r="G30" s="52" t="n"/>
      <c r="H30" s="52" t="n"/>
      <c r="I30" s="1" t="n"/>
      <c r="J30" s="52" t="n"/>
      <c r="K30" s="1" t="n"/>
      <c r="L30" s="240" t="n"/>
      <c r="M30" s="239" t="n"/>
      <c r="N30" s="239">
        <f>IF(L30="","",L30*M30)</f>
        <v/>
      </c>
      <c r="O30" s="239" t="n"/>
      <c r="P30" s="239" t="n"/>
    </row>
    <row r="31">
      <c r="A31" s="1" t="n"/>
      <c r="B31" s="52" t="n"/>
      <c r="C31" s="52" t="n"/>
      <c r="D31" s="239" t="n"/>
      <c r="E31" s="239">
        <f>IF(C31="","",C31*D31)</f>
        <v/>
      </c>
      <c r="F31" s="52" t="n"/>
      <c r="G31" s="52" t="n"/>
      <c r="H31" s="52" t="n"/>
      <c r="I31" s="1" t="n"/>
      <c r="J31" s="52" t="n"/>
      <c r="K31" s="1" t="n"/>
      <c r="L31" s="240" t="n"/>
      <c r="M31" s="239" t="n"/>
      <c r="N31" s="239">
        <f>IF(L31="","",L31*M31)</f>
        <v/>
      </c>
      <c r="O31" s="239" t="n"/>
      <c r="P31" s="239" t="n"/>
    </row>
    <row r="32">
      <c r="A32" s="1" t="n"/>
      <c r="B32" s="52" t="n"/>
      <c r="C32" s="52" t="n"/>
      <c r="D32" s="239" t="n"/>
      <c r="E32" s="239">
        <f>IF(C32="","",C32*D32)</f>
        <v/>
      </c>
      <c r="F32" s="52" t="n"/>
      <c r="G32" s="52" t="n"/>
      <c r="H32" s="52" t="n"/>
      <c r="I32" s="1" t="n"/>
      <c r="J32" s="52" t="n"/>
      <c r="K32" s="1" t="n"/>
      <c r="L32" s="240" t="n"/>
      <c r="M32" s="239" t="n"/>
      <c r="N32" s="239">
        <f>IF(L32="","",L32*M32)</f>
        <v/>
      </c>
      <c r="O32" s="239" t="n"/>
      <c r="P32" s="239" t="n"/>
    </row>
    <row r="33">
      <c r="A33" s="1" t="n"/>
      <c r="B33" s="52" t="n"/>
      <c r="C33" s="52" t="n"/>
      <c r="D33" s="239" t="n"/>
      <c r="E33" s="239">
        <f>IF(C33="","",C33*D33)</f>
        <v/>
      </c>
      <c r="F33" s="52" t="n"/>
      <c r="G33" s="52" t="n"/>
      <c r="H33" s="52" t="n"/>
      <c r="I33" s="1" t="n"/>
      <c r="J33" s="52" t="n"/>
      <c r="K33" s="1" t="n"/>
      <c r="L33" s="240" t="n"/>
      <c r="M33" s="239" t="n"/>
      <c r="N33" s="239">
        <f>IF(L33="","",L33*M33)</f>
        <v/>
      </c>
      <c r="O33" s="239" t="n"/>
      <c r="P33" s="239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241">
        <f>SUM(N4:N33)</f>
        <v/>
      </c>
      <c r="O34" s="242">
        <f>SUM(O4:O33)</f>
        <v/>
      </c>
      <c r="P34" s="1" t="n"/>
    </row>
    <row r="37">
      <c r="A37" s="1" t="n"/>
      <c r="B37" s="240" t="inlineStr">
        <is>
          <t>AGREED =</t>
        </is>
      </c>
      <c r="C37" s="243">
        <f>SUMIF($H$4:$H$33,"A",$N$4:$N$33)</f>
        <v/>
      </c>
      <c r="D37" s="239" t="inlineStr">
        <is>
          <t>A</t>
        </is>
      </c>
      <c r="E37" s="1" t="n"/>
      <c r="F37" s="1" t="n"/>
      <c r="G37" s="1" t="n"/>
      <c r="H37" s="1" t="n"/>
      <c r="I37" s="1" t="n"/>
      <c r="J37" s="21" t="n"/>
      <c r="L37" s="1" t="n"/>
      <c r="M37" s="1" t="n"/>
      <c r="N37" s="239" t="n"/>
      <c r="O37" s="1" t="n"/>
      <c r="P37" s="1" t="n"/>
    </row>
    <row r="38">
      <c r="A38" s="1" t="n"/>
      <c r="B38" s="244" t="inlineStr">
        <is>
          <t>DISCUSSION =</t>
        </is>
      </c>
      <c r="C38" s="245">
        <f>SUMIF($H$4:$H$33,"D",$N$4:$N$33)</f>
        <v/>
      </c>
      <c r="D38" s="239" t="inlineStr">
        <is>
          <t>D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246" t="inlineStr">
        <is>
          <t xml:space="preserve">NOT AGREED = </t>
        </is>
      </c>
      <c r="C39" s="247">
        <f>SUMIF($H$4:$H$33,"N",$N$4:$N$33)</f>
        <v/>
      </c>
      <c r="D39" s="239" t="inlineStr">
        <is>
          <t>N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</sheetData>
  <mergeCells count="2">
    <mergeCell ref="J37:K37"/>
    <mergeCell ref="J7:K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BN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.42578125" customWidth="1" min="1" max="1"/>
    <col width="39.140625" customWidth="1" min="2" max="2"/>
    <col width="10.5703125" customWidth="1" min="3" max="3"/>
    <col width="17.85546875" customWidth="1" min="4" max="4"/>
    <col width="15.140625" customWidth="1" min="5" max="5"/>
    <col width="12.28515625" customWidth="1" min="6" max="6"/>
    <col width="13.28515625" customWidth="1" min="7" max="7"/>
    <col width="12.42578125" customWidth="1" min="8" max="8"/>
    <col width="16.7109375" customWidth="1" min="9" max="9"/>
    <col width="1.85546875" customWidth="1" min="10" max="10"/>
    <col width="2.42578125" customWidth="1" min="11" max="11"/>
    <col width="2.42578125" customWidth="1" min="12" max="12"/>
    <col width="2.42578125" customWidth="1" min="13" max="13"/>
    <col width="2.42578125" customWidth="1" min="14" max="14"/>
    <col width="2.42578125" customWidth="1" min="15" max="15"/>
    <col width="2.42578125" customWidth="1" min="16" max="16"/>
    <col width="2.42578125" customWidth="1" min="17" max="17"/>
    <col width="2.42578125" customWidth="1" min="18" max="18"/>
    <col width="2.42578125" customWidth="1" min="19" max="19"/>
    <col width="2.42578125" customWidth="1" min="20" max="20"/>
    <col width="2.42578125" customWidth="1" min="21" max="21"/>
    <col width="2.42578125" customWidth="1" min="22" max="22"/>
    <col width="2.42578125" customWidth="1" min="23" max="23"/>
    <col width="2.42578125" customWidth="1" min="24" max="24"/>
    <col width="2.42578125" customWidth="1" min="25" max="25"/>
    <col width="2.42578125" customWidth="1" min="26" max="26"/>
    <col width="2.42578125" customWidth="1" min="27" max="27"/>
    <col width="2.42578125" customWidth="1" min="28" max="28"/>
    <col width="2.42578125" customWidth="1" min="29" max="29"/>
    <col width="2.42578125" customWidth="1" min="30" max="30"/>
    <col width="2.42578125" customWidth="1" min="31" max="31"/>
    <col width="2.42578125" customWidth="1" min="32" max="32"/>
    <col width="2.42578125" customWidth="1" min="33" max="33"/>
    <col width="2.42578125" customWidth="1" min="34" max="34"/>
    <col width="2.42578125" customWidth="1" min="35" max="35"/>
    <col width="2.42578125" customWidth="1" min="36" max="36"/>
    <col width="2.42578125" customWidth="1" min="37" max="37"/>
    <col width="2.42578125" customWidth="1" min="38" max="38"/>
    <col width="2.42578125" customWidth="1" min="39" max="39"/>
    <col width="2.42578125" customWidth="1" min="40" max="40"/>
    <col width="2.42578125" customWidth="1" min="41" max="41"/>
    <col width="2.42578125" customWidth="1" min="42" max="42"/>
    <col width="2.42578125" customWidth="1" min="43" max="43"/>
    <col width="2.42578125" customWidth="1" min="44" max="44"/>
    <col width="2.42578125" customWidth="1" min="45" max="45"/>
    <col width="2.42578125" customWidth="1" min="46" max="46"/>
    <col width="2.42578125" customWidth="1" min="47" max="47"/>
    <col width="2.42578125" customWidth="1" min="48" max="48"/>
    <col width="2.42578125" customWidth="1" min="49" max="49"/>
    <col width="2.42578125" customWidth="1" min="50" max="50"/>
    <col width="2.42578125" customWidth="1" min="51" max="51"/>
    <col width="2.42578125" customWidth="1" min="52" max="52"/>
    <col width="2.42578125" customWidth="1" min="53" max="53"/>
    <col width="2.42578125" customWidth="1" min="54" max="54"/>
    <col width="2.42578125" customWidth="1" min="55" max="55"/>
    <col width="2.42578125" customWidth="1" min="56" max="56"/>
    <col width="2.42578125" customWidth="1" min="57" max="57"/>
    <col width="2.42578125" customWidth="1" min="58" max="58"/>
    <col width="2.42578125" customWidth="1" min="59" max="59"/>
    <col width="2.42578125" customWidth="1" min="60" max="60"/>
    <col width="2.42578125" customWidth="1" min="61" max="61"/>
    <col width="2.42578125" customWidth="1" min="62" max="62"/>
    <col width="2.42578125" customWidth="1" min="63" max="63"/>
    <col width="2.42578125" customWidth="1" min="64" max="64"/>
    <col width="2.42578125" customWidth="1" min="65" max="65"/>
    <col width="2.42578125" customWidth="1" min="66" max="66"/>
  </cols>
  <sheetData>
    <row r="1" ht="36.75" customHeight="1">
      <c r="A1" s="248" t="inlineStr">
        <is>
          <t>AL-IDRISI - Planner</t>
        </is>
      </c>
      <c r="B1" s="249" t="n"/>
      <c r="C1" s="250" t="n"/>
      <c r="D1" s="250" t="n"/>
      <c r="E1" s="250" t="n"/>
      <c r="F1" s="251" t="n"/>
      <c r="G1" s="252" t="n"/>
      <c r="H1" s="253" t="n"/>
      <c r="I1" s="254" t="n"/>
      <c r="J1" s="1" t="n"/>
      <c r="K1" s="255" t="n"/>
      <c r="AF1" s="255" t="n"/>
      <c r="AG1" s="1" t="n"/>
      <c r="AH1" s="1" t="n"/>
      <c r="AI1" s="1" t="n"/>
      <c r="AJ1" s="1" t="n"/>
      <c r="AK1" s="1" t="n"/>
      <c r="AL1" s="1" t="n"/>
      <c r="AM1" s="255" t="n"/>
      <c r="AN1" s="1" t="n"/>
      <c r="AO1" s="1" t="n"/>
      <c r="AP1" s="1" t="n"/>
      <c r="AQ1" s="1" t="n"/>
      <c r="AR1" s="1" t="n"/>
      <c r="AS1" s="1" t="n"/>
      <c r="AT1" s="255" t="n"/>
      <c r="AU1" s="1" t="n"/>
      <c r="AV1" s="1" t="n"/>
      <c r="AW1" s="1" t="n"/>
      <c r="AX1" s="1" t="n"/>
      <c r="AY1" s="1" t="n"/>
      <c r="AZ1" s="1" t="n"/>
      <c r="BA1" s="255" t="n"/>
      <c r="BB1" s="1" t="n"/>
      <c r="BC1" s="1" t="n"/>
      <c r="BD1" s="1" t="n"/>
      <c r="BE1" s="1" t="n"/>
      <c r="BF1" s="1" t="n"/>
      <c r="BG1" s="1" t="n"/>
      <c r="BH1" s="255" t="n"/>
      <c r="BI1" s="1" t="n"/>
      <c r="BJ1" s="1" t="n"/>
      <c r="BK1" s="1" t="n"/>
      <c r="BL1" s="1" t="n"/>
      <c r="BM1" s="1" t="n"/>
      <c r="BN1" s="1" t="n"/>
    </row>
    <row r="2">
      <c r="A2" s="256" t="inlineStr">
        <is>
          <t>PLANNING</t>
        </is>
      </c>
      <c r="B2" s="254" t="inlineStr">
        <is>
          <t>Last change</t>
        </is>
      </c>
      <c r="C2" s="238">
        <f>LastChange</f>
        <v/>
      </c>
      <c r="D2" s="1" t="n"/>
      <c r="E2" s="1" t="n"/>
      <c r="F2" s="257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</row>
    <row r="3" ht="12.75" customHeight="1">
      <c r="A3" s="258" t="inlineStr">
        <is>
          <t>% DONE</t>
        </is>
      </c>
      <c r="B3" s="1" t="n"/>
      <c r="C3" s="1" t="n"/>
      <c r="D3" s="259" t="n"/>
      <c r="E3" s="1" t="n"/>
      <c r="F3" s="257" t="n"/>
      <c r="G3" s="1" t="n"/>
      <c r="H3" s="1" t="n"/>
      <c r="I3" s="1" t="n"/>
      <c r="J3" s="1" t="n"/>
      <c r="K3" s="260" t="n"/>
      <c r="L3" s="260" t="n"/>
      <c r="M3" s="260" t="n"/>
      <c r="N3" s="260" t="n"/>
      <c r="O3" s="260" t="n"/>
      <c r="P3" s="260" t="n"/>
      <c r="Q3" s="260" t="n"/>
      <c r="R3" s="260" t="n"/>
      <c r="S3" s="260" t="n"/>
      <c r="T3" s="260" t="n"/>
      <c r="U3" s="260" t="n"/>
      <c r="V3" s="260" t="n"/>
      <c r="W3" s="260" t="n"/>
      <c r="X3" s="260" t="n"/>
      <c r="Y3" s="260" t="n"/>
      <c r="Z3" s="260" t="n"/>
      <c r="AA3" s="260" t="n"/>
      <c r="AB3" s="260" t="n"/>
      <c r="AC3" s="260" t="n"/>
      <c r="AD3" s="260" t="n"/>
      <c r="AE3" s="260" t="n"/>
      <c r="AF3" s="260" t="n"/>
      <c r="AG3" s="260" t="n"/>
      <c r="AH3" s="260" t="n"/>
      <c r="AI3" s="260" t="n"/>
      <c r="AJ3" s="260" t="n"/>
      <c r="AK3" s="260" t="n"/>
      <c r="AL3" s="260" t="n"/>
      <c r="AM3" s="260" t="n"/>
      <c r="AN3" s="260" t="n"/>
      <c r="AO3" s="260" t="n"/>
      <c r="AP3" s="260" t="n"/>
      <c r="AQ3" s="260" t="n"/>
      <c r="AR3" s="260" t="n"/>
      <c r="AS3" s="260" t="n"/>
      <c r="AT3" s="260" t="n"/>
      <c r="AU3" s="260" t="n"/>
      <c r="AV3" s="260" t="n"/>
      <c r="AW3" s="260" t="n"/>
      <c r="AX3" s="260" t="n"/>
      <c r="AY3" s="260" t="n"/>
      <c r="AZ3" s="260" t="n"/>
      <c r="BA3" s="260" t="n"/>
      <c r="BB3" s="260" t="n"/>
      <c r="BC3" s="260" t="n"/>
      <c r="BD3" s="260" t="n"/>
      <c r="BE3" s="260" t="n"/>
      <c r="BF3" s="260" t="n"/>
      <c r="BG3" s="260" t="n"/>
      <c r="BH3" s="260" t="n"/>
      <c r="BI3" s="260" t="n"/>
      <c r="BJ3" s="260" t="n"/>
      <c r="BK3" s="260" t="n"/>
      <c r="BL3" s="260" t="n"/>
      <c r="BM3" s="260" t="n"/>
      <c r="BN3" s="260" t="n"/>
    </row>
    <row r="4" ht="15" customHeight="1">
      <c r="A4" s="261" t="inlineStr">
        <is>
          <t>TASK DONE</t>
        </is>
      </c>
      <c r="B4" s="254" t="inlineStr">
        <is>
          <t xml:space="preserve">Project Start Date </t>
        </is>
      </c>
      <c r="C4" s="262" t="n"/>
      <c r="D4" s="263" t="n"/>
      <c r="E4" s="1" t="n"/>
      <c r="F4" s="254" t="inlineStr">
        <is>
          <t xml:space="preserve">Display Week </t>
        </is>
      </c>
      <c r="G4" s="264" t="n">
        <v>1</v>
      </c>
      <c r="H4" s="1" t="n"/>
      <c r="I4" s="1" t="n"/>
      <c r="J4" s="1" t="n"/>
      <c r="K4" s="265">
        <f>IF($C$4="","","Week "&amp;(K6-($C$4-WEEKDAY($C$4,1)+2))/7+1)</f>
        <v/>
      </c>
      <c r="Q4" s="266" t="n"/>
      <c r="R4" s="265">
        <f>IF($C$4="","","Week "&amp;(R6-($C$4-WEEKDAY($C$4,1)+2))/7+1)</f>
        <v/>
      </c>
      <c r="X4" s="266" t="n"/>
      <c r="Y4" s="265">
        <f>IF($C$4="","","Week "&amp;(Y6-($C$4-WEEKDAY($C$4,1)+2))/7+1)</f>
        <v/>
      </c>
      <c r="AE4" s="266" t="n"/>
      <c r="AF4" s="265">
        <f>IF($C$4="","","Week "&amp;(AF6-($C$4-WEEKDAY($C$4,1)+2))/7+1)</f>
        <v/>
      </c>
      <c r="AL4" s="266" t="n"/>
      <c r="AM4" s="265">
        <f>IF($C$4="","","Week "&amp;(AM6-($C$4-WEEKDAY($C$4,1)+2))/7+1)</f>
        <v/>
      </c>
      <c r="AS4" s="266" t="n"/>
      <c r="AT4" s="265">
        <f>IF($C$4="","","Week "&amp;(AT6-($C$4-WEEKDAY($C$4,1)+2))/7+1)</f>
        <v/>
      </c>
      <c r="AZ4" s="266" t="n"/>
      <c r="BA4" s="265">
        <f>IF($C$4="","","Week "&amp;(BA6-($C$4-WEEKDAY($C$4,1)+2))/7+1)</f>
        <v/>
      </c>
      <c r="BG4" s="266" t="n"/>
      <c r="BH4" s="265">
        <f>IF($C$4="","","Week "&amp;(BH6-($C$4-WEEKDAY($C$4,1)+2))/7+1)</f>
        <v/>
      </c>
      <c r="BN4" s="266" t="n"/>
    </row>
    <row r="5">
      <c r="A5" s="267" t="inlineStr">
        <is>
          <t>OVERDUE</t>
        </is>
      </c>
      <c r="B5" s="254" t="inlineStr">
        <is>
          <t>Current date</t>
        </is>
      </c>
      <c r="C5" s="268">
        <f>TODAY()</f>
        <v/>
      </c>
      <c r="D5" s="269" t="n"/>
      <c r="E5" s="1" t="n"/>
      <c r="F5" s="1" t="n"/>
      <c r="G5" s="1" t="n"/>
      <c r="H5" s="1" t="n"/>
      <c r="I5" s="1" t="n"/>
      <c r="J5" s="1" t="n"/>
      <c r="K5" s="270">
        <f>K6</f>
        <v/>
      </c>
      <c r="Q5" s="266" t="n"/>
      <c r="R5" s="270">
        <f>R6</f>
        <v/>
      </c>
      <c r="X5" s="266" t="n"/>
      <c r="Y5" s="270">
        <f>Y6</f>
        <v/>
      </c>
      <c r="AE5" s="266" t="n"/>
      <c r="AF5" s="270">
        <f>AF6</f>
        <v/>
      </c>
      <c r="AL5" s="266" t="n"/>
      <c r="AM5" s="270">
        <f>AM6</f>
        <v/>
      </c>
      <c r="AS5" s="266" t="n"/>
      <c r="AT5" s="270">
        <f>AT6</f>
        <v/>
      </c>
      <c r="AZ5" s="266" t="n"/>
      <c r="BA5" s="270">
        <f>BA6</f>
        <v/>
      </c>
      <c r="BG5" s="266" t="n"/>
      <c r="BH5" s="270">
        <f>BH6</f>
        <v/>
      </c>
      <c r="BN5" s="266" t="n"/>
    </row>
    <row r="6">
      <c r="A6" s="1" t="n"/>
      <c r="B6" s="1" t="n"/>
      <c r="C6" s="259" t="n"/>
      <c r="D6" s="1" t="n"/>
      <c r="E6" s="1" t="n"/>
      <c r="F6" s="1" t="n"/>
      <c r="G6" s="1" t="n"/>
      <c r="H6" s="1" t="n"/>
      <c r="I6" s="1" t="n"/>
      <c r="J6" s="1" t="n"/>
      <c r="K6" s="271">
        <f>IF($C$4="","",$C$4-WEEKDAY($C$4,1)+2+7*($G$4-1))</f>
        <v/>
      </c>
      <c r="L6" s="272">
        <f>IF(K6="","",K6+1)</f>
        <v/>
      </c>
      <c r="M6" s="272">
        <f>IF(L6="","",L6+1)</f>
        <v/>
      </c>
      <c r="N6" s="272">
        <f>IF(M6="","",M6+1)</f>
        <v/>
      </c>
      <c r="O6" s="272">
        <f>IF(N6="","",N6+1)</f>
        <v/>
      </c>
      <c r="P6" s="272">
        <f>IF(O6="","",O6+1)</f>
        <v/>
      </c>
      <c r="Q6" s="273">
        <f>IF(P6="","",P6+1)</f>
        <v/>
      </c>
      <c r="R6" s="271">
        <f>IF(Q6="","",Q6+1)</f>
        <v/>
      </c>
      <c r="S6" s="272">
        <f>IF(R6="","",R6+1)</f>
        <v/>
      </c>
      <c r="T6" s="272">
        <f>IF(S6="","",S6+1)</f>
        <v/>
      </c>
      <c r="U6" s="272">
        <f>IF(T6="","",T6+1)</f>
        <v/>
      </c>
      <c r="V6" s="272">
        <f>IF(U6="","",U6+1)</f>
        <v/>
      </c>
      <c r="W6" s="272">
        <f>IF(V6="","",V6+1)</f>
        <v/>
      </c>
      <c r="X6" s="273">
        <f>IF(W6="","",W6+1)</f>
        <v/>
      </c>
      <c r="Y6" s="271">
        <f>IF(X6="","",X6+1)</f>
        <v/>
      </c>
      <c r="Z6" s="272">
        <f>IF(Y6="","",Y6+1)</f>
        <v/>
      </c>
      <c r="AA6" s="272">
        <f>IF(Z6="","",Z6+1)</f>
        <v/>
      </c>
      <c r="AB6" s="272">
        <f>IF(AA6="","",AA6+1)</f>
        <v/>
      </c>
      <c r="AC6" s="272">
        <f>IF(AB6="","",AB6+1)</f>
        <v/>
      </c>
      <c r="AD6" s="272">
        <f>IF(AC6="","",AC6+1)</f>
        <v/>
      </c>
      <c r="AE6" s="273">
        <f>IF(AD6="","",AD6+1)</f>
        <v/>
      </c>
      <c r="AF6" s="271">
        <f>IF(AE6="","",AE6+1)</f>
        <v/>
      </c>
      <c r="AG6" s="272">
        <f>IF(AF6="","",AF6+1)</f>
        <v/>
      </c>
      <c r="AH6" s="272">
        <f>IF(AG6="","",AG6+1)</f>
        <v/>
      </c>
      <c r="AI6" s="272">
        <f>IF(AH6="","",AH6+1)</f>
        <v/>
      </c>
      <c r="AJ6" s="272">
        <f>IF(AI6="","",AI6+1)</f>
        <v/>
      </c>
      <c r="AK6" s="272">
        <f>IF(AJ6="","",AJ6+1)</f>
        <v/>
      </c>
      <c r="AL6" s="273">
        <f>IF(AK6="","",AK6+1)</f>
        <v/>
      </c>
      <c r="AM6" s="271">
        <f>IF(AL6="","",AL6+1)</f>
        <v/>
      </c>
      <c r="AN6" s="272">
        <f>IF(AM6="","",AM6+1)</f>
        <v/>
      </c>
      <c r="AO6" s="272">
        <f>IF(AN6="","",AN6+1)</f>
        <v/>
      </c>
      <c r="AP6" s="272">
        <f>IF(AO6="","",AO6+1)</f>
        <v/>
      </c>
      <c r="AQ6" s="272">
        <f>IF(AP6="","",AP6+1)</f>
        <v/>
      </c>
      <c r="AR6" s="272">
        <f>IF(AQ6="","",AQ6+1)</f>
        <v/>
      </c>
      <c r="AS6" s="273">
        <f>IF(AR6="","",AR6+1)</f>
        <v/>
      </c>
      <c r="AT6" s="271">
        <f>IF(AS6="","",AS6+1)</f>
        <v/>
      </c>
      <c r="AU6" s="272">
        <f>IF(AT6="","",AT6+1)</f>
        <v/>
      </c>
      <c r="AV6" s="272">
        <f>IF(AU6="","",AU6+1)</f>
        <v/>
      </c>
      <c r="AW6" s="272">
        <f>IF(AV6="","",AV6+1)</f>
        <v/>
      </c>
      <c r="AX6" s="272">
        <f>IF(AW6="","",AW6+1)</f>
        <v/>
      </c>
      <c r="AY6" s="272">
        <f>IF(AX6="","",AX6+1)</f>
        <v/>
      </c>
      <c r="AZ6" s="273">
        <f>IF(AY6="","",AY6+1)</f>
        <v/>
      </c>
      <c r="BA6" s="271">
        <f>IF(AZ6="","",AZ6+1)</f>
        <v/>
      </c>
      <c r="BB6" s="272">
        <f>IF(BA6="","",BA6+1)</f>
        <v/>
      </c>
      <c r="BC6" s="272">
        <f>IF(BB6="","",BB6+1)</f>
        <v/>
      </c>
      <c r="BD6" s="272">
        <f>IF(BC6="","",BC6+1)</f>
        <v/>
      </c>
      <c r="BE6" s="272">
        <f>IF(BD6="","",BD6+1)</f>
        <v/>
      </c>
      <c r="BF6" s="272">
        <f>IF(BE6="","",BE6+1)</f>
        <v/>
      </c>
      <c r="BG6" s="273">
        <f>IF(BF6="","",BF6+1)</f>
        <v/>
      </c>
      <c r="BH6" s="271">
        <f>IF(BG6="","",BG6+1)</f>
        <v/>
      </c>
      <c r="BI6" s="272">
        <f>IF(BH6="","",BH6+1)</f>
        <v/>
      </c>
      <c r="BJ6" s="272">
        <f>IF(BI6="","",BI6+1)</f>
        <v/>
      </c>
      <c r="BK6" s="272">
        <f>IF(BJ6="","",BJ6+1)</f>
        <v/>
      </c>
      <c r="BL6" s="272">
        <f>IF(BK6="","",BK6+1)</f>
        <v/>
      </c>
      <c r="BM6" s="272">
        <f>IF(BL6="","",BL6+1)</f>
        <v/>
      </c>
      <c r="BN6" s="273">
        <f>IF(BM6="","",BM6+1)</f>
        <v/>
      </c>
    </row>
    <row r="7" ht="13.5" customHeight="1">
      <c r="A7" s="274" t="n"/>
      <c r="B7" s="274" t="inlineStr">
        <is>
          <t>DESCRIPTION</t>
        </is>
      </c>
      <c r="C7" s="275" t="inlineStr">
        <is>
          <t>RESPONSIBLE</t>
        </is>
      </c>
      <c r="D7" s="275" t="inlineStr">
        <is>
          <t>PLANNED START</t>
        </is>
      </c>
      <c r="E7" s="275" t="inlineStr">
        <is>
          <t>PLANNED END</t>
        </is>
      </c>
      <c r="F7" s="276" t="inlineStr">
        <is>
          <t>% DONE</t>
        </is>
      </c>
      <c r="G7" s="275" t="inlineStr">
        <is>
          <t>WORK DAYS</t>
        </is>
      </c>
      <c r="H7" s="275" t="inlineStr">
        <is>
          <t>DATE DONE</t>
        </is>
      </c>
      <c r="I7" s="275" t="inlineStr">
        <is>
          <t>DAYS OVERDUE</t>
        </is>
      </c>
      <c r="J7" s="276" t="n"/>
      <c r="K7" s="277">
        <f>IF(K6="","",CHOOSE(WEEKDAY(K6,1),"S","M","T","W","T","F","S"))</f>
        <v/>
      </c>
      <c r="L7" s="278">
        <f>IF(L6="","",CHOOSE(WEEKDAY(L6,1),"S","M","T","W","T","F","S"))</f>
        <v/>
      </c>
      <c r="M7" s="278">
        <f>IF(M6="","",CHOOSE(WEEKDAY(M6,1),"S","M","T","W","T","F","S"))</f>
        <v/>
      </c>
      <c r="N7" s="278">
        <f>IF(N6="","",CHOOSE(WEEKDAY(N6,1),"S","M","T","W","T","F","S"))</f>
        <v/>
      </c>
      <c r="O7" s="278">
        <f>IF(O6="","",CHOOSE(WEEKDAY(O6,1),"S","M","T","W","T","F","S"))</f>
        <v/>
      </c>
      <c r="P7" s="278">
        <f>IF(P6="","",CHOOSE(WEEKDAY(P6,1),"S","M","T","W","T","F","S"))</f>
        <v/>
      </c>
      <c r="Q7" s="279">
        <f>IF(Q6="","",CHOOSE(WEEKDAY(Q6,1),"S","M","T","W","T","F","S"))</f>
        <v/>
      </c>
      <c r="R7" s="277">
        <f>IF(R6="","",CHOOSE(WEEKDAY(R6,1),"S","M","T","W","T","F","S"))</f>
        <v/>
      </c>
      <c r="S7" s="278">
        <f>IF(S6="","",CHOOSE(WEEKDAY(S6,1),"S","M","T","W","T","F","S"))</f>
        <v/>
      </c>
      <c r="T7" s="278">
        <f>IF(T6="","",CHOOSE(WEEKDAY(T6,1),"S","M","T","W","T","F","S"))</f>
        <v/>
      </c>
      <c r="U7" s="278">
        <f>IF(U6="","",CHOOSE(WEEKDAY(U6,1),"S","M","T","W","T","F","S"))</f>
        <v/>
      </c>
      <c r="V7" s="278">
        <f>IF(V6="","",CHOOSE(WEEKDAY(V6,1),"S","M","T","W","T","F","S"))</f>
        <v/>
      </c>
      <c r="W7" s="278">
        <f>IF(W6="","",CHOOSE(WEEKDAY(W6,1),"S","M","T","W","T","F","S"))</f>
        <v/>
      </c>
      <c r="X7" s="279">
        <f>IF(X6="","",CHOOSE(WEEKDAY(X6,1),"S","M","T","W","T","F","S"))</f>
        <v/>
      </c>
      <c r="Y7" s="277">
        <f>IF(Y6="","",CHOOSE(WEEKDAY(Y6,1),"S","M","T","W","T","F","S"))</f>
        <v/>
      </c>
      <c r="Z7" s="278">
        <f>IF(Z6="","",CHOOSE(WEEKDAY(Z6,1),"S","M","T","W","T","F","S"))</f>
        <v/>
      </c>
      <c r="AA7" s="278">
        <f>IF(AA6="","",CHOOSE(WEEKDAY(AA6,1),"S","M","T","W","T","F","S"))</f>
        <v/>
      </c>
      <c r="AB7" s="278">
        <f>IF(AB6="","",CHOOSE(WEEKDAY(AB6,1),"S","M","T","W","T","F","S"))</f>
        <v/>
      </c>
      <c r="AC7" s="278">
        <f>IF(AC6="","",CHOOSE(WEEKDAY(AC6,1),"S","M","T","W","T","F","S"))</f>
        <v/>
      </c>
      <c r="AD7" s="278">
        <f>IF(AD6="","",CHOOSE(WEEKDAY(AD6,1),"S","M","T","W","T","F","S"))</f>
        <v/>
      </c>
      <c r="AE7" s="279">
        <f>IF(AE6="","",CHOOSE(WEEKDAY(AE6,1),"S","M","T","W","T","F","S"))</f>
        <v/>
      </c>
      <c r="AF7" s="277">
        <f>IF(AF6="","",CHOOSE(WEEKDAY(AF6,1),"S","M","T","W","T","F","S"))</f>
        <v/>
      </c>
      <c r="AG7" s="278">
        <f>IF(AG6="","",CHOOSE(WEEKDAY(AG6,1),"S","M","T","W","T","F","S"))</f>
        <v/>
      </c>
      <c r="AH7" s="278">
        <f>IF(AH6="","",CHOOSE(WEEKDAY(AH6,1),"S","M","T","W","T","F","S"))</f>
        <v/>
      </c>
      <c r="AI7" s="278">
        <f>IF(AI6="","",CHOOSE(WEEKDAY(AI6,1),"S","M","T","W","T","F","S"))</f>
        <v/>
      </c>
      <c r="AJ7" s="278">
        <f>IF(AJ6="","",CHOOSE(WEEKDAY(AJ6,1),"S","M","T","W","T","F","S"))</f>
        <v/>
      </c>
      <c r="AK7" s="278">
        <f>IF(AK6="","",CHOOSE(WEEKDAY(AK6,1),"S","M","T","W","T","F","S"))</f>
        <v/>
      </c>
      <c r="AL7" s="279">
        <f>IF(AL6="","",CHOOSE(WEEKDAY(AL6,1),"S","M","T","W","T","F","S"))</f>
        <v/>
      </c>
      <c r="AM7" s="277">
        <f>IF(AM6="","",CHOOSE(WEEKDAY(AM6,1),"S","M","T","W","T","F","S"))</f>
        <v/>
      </c>
      <c r="AN7" s="278">
        <f>IF(AN6="","",CHOOSE(WEEKDAY(AN6,1),"S","M","T","W","T","F","S"))</f>
        <v/>
      </c>
      <c r="AO7" s="278">
        <f>IF(AO6="","",CHOOSE(WEEKDAY(AO6,1),"S","M","T","W","T","F","S"))</f>
        <v/>
      </c>
      <c r="AP7" s="278">
        <f>IF(AP6="","",CHOOSE(WEEKDAY(AP6,1),"S","M","T","W","T","F","S"))</f>
        <v/>
      </c>
      <c r="AQ7" s="278">
        <f>IF(AQ6="","",CHOOSE(WEEKDAY(AQ6,1),"S","M","T","W","T","F","S"))</f>
        <v/>
      </c>
      <c r="AR7" s="278">
        <f>IF(AR6="","",CHOOSE(WEEKDAY(AR6,1),"S","M","T","W","T","F","S"))</f>
        <v/>
      </c>
      <c r="AS7" s="279">
        <f>IF(AS6="","",CHOOSE(WEEKDAY(AS6,1),"S","M","T","W","T","F","S"))</f>
        <v/>
      </c>
      <c r="AT7" s="277">
        <f>IF(AT6="","",CHOOSE(WEEKDAY(AT6,1),"S","M","T","W","T","F","S"))</f>
        <v/>
      </c>
      <c r="AU7" s="278">
        <f>IF(AU6="","",CHOOSE(WEEKDAY(AU6,1),"S","M","T","W","T","F","S"))</f>
        <v/>
      </c>
      <c r="AV7" s="278">
        <f>IF(AV6="","",CHOOSE(WEEKDAY(AV6,1),"S","M","T","W","T","F","S"))</f>
        <v/>
      </c>
      <c r="AW7" s="278">
        <f>IF(AW6="","",CHOOSE(WEEKDAY(AW6,1),"S","M","T","W","T","F","S"))</f>
        <v/>
      </c>
      <c r="AX7" s="278">
        <f>IF(AX6="","",CHOOSE(WEEKDAY(AX6,1),"S","M","T","W","T","F","S"))</f>
        <v/>
      </c>
      <c r="AY7" s="278">
        <f>IF(AY6="","",CHOOSE(WEEKDAY(AY6,1),"S","M","T","W","T","F","S"))</f>
        <v/>
      </c>
      <c r="AZ7" s="279">
        <f>IF(AZ6="","",CHOOSE(WEEKDAY(AZ6,1),"S","M","T","W","T","F","S"))</f>
        <v/>
      </c>
      <c r="BA7" s="277">
        <f>IF(BA6="","",CHOOSE(WEEKDAY(BA6,1),"S","M","T","W","T","F","S"))</f>
        <v/>
      </c>
      <c r="BB7" s="278">
        <f>IF(BB6="","",CHOOSE(WEEKDAY(BB6,1),"S","M","T","W","T","F","S"))</f>
        <v/>
      </c>
      <c r="BC7" s="278">
        <f>IF(BC6="","",CHOOSE(WEEKDAY(BC6,1),"S","M","T","W","T","F","S"))</f>
        <v/>
      </c>
      <c r="BD7" s="278">
        <f>IF(BD6="","",CHOOSE(WEEKDAY(BD6,1),"S","M","T","W","T","F","S"))</f>
        <v/>
      </c>
      <c r="BE7" s="278">
        <f>IF(BE6="","",CHOOSE(WEEKDAY(BE6,1),"S","M","T","W","T","F","S"))</f>
        <v/>
      </c>
      <c r="BF7" s="278">
        <f>IF(BF6="","",CHOOSE(WEEKDAY(BF6,1),"S","M","T","W","T","F","S"))</f>
        <v/>
      </c>
      <c r="BG7" s="279">
        <f>IF(BG6="","",CHOOSE(WEEKDAY(BG6,1),"S","M","T","W","T","F","S"))</f>
        <v/>
      </c>
      <c r="BH7" s="277">
        <f>IF(BH6="","",CHOOSE(WEEKDAY(BH6,1),"S","M","T","W","T","F","S"))</f>
        <v/>
      </c>
      <c r="BI7" s="278">
        <f>IF(BI6="","",CHOOSE(WEEKDAY(BI6,1),"S","M","T","W","T","F","S"))</f>
        <v/>
      </c>
      <c r="BJ7" s="278">
        <f>IF(BJ6="","",CHOOSE(WEEKDAY(BJ6,1),"S","M","T","W","T","F","S"))</f>
        <v/>
      </c>
      <c r="BK7" s="278">
        <f>IF(BK6="","",CHOOSE(WEEKDAY(BK6,1),"S","M","T","W","T","F","S"))</f>
        <v/>
      </c>
      <c r="BL7" s="278">
        <f>IF(BL6="","",CHOOSE(WEEKDAY(BL6,1),"S","M","T","W","T","F","S"))</f>
        <v/>
      </c>
      <c r="BM7" s="278">
        <f>IF(BM6="","",CHOOSE(WEEKDAY(BM6,1),"S","M","T","W","T","F","S"))</f>
        <v/>
      </c>
      <c r="BN7" s="279">
        <f>IF(BN6="","",CHOOSE(WEEKDAY(BN6,1),"S","M","T","W","T","F","S"))</f>
        <v/>
      </c>
    </row>
    <row r="8" ht="18.75" customHeight="1">
      <c r="A8" s="280">
        <f>IF(ISERROR(VALUE(SUBSTITUTE(prevWBS,".",""))),"1",IF(ISERROR(FIND("`",SUBSTITUTE(prevWBS,".","`",1))),TEXT(VALUE(prevWBS)+1,"#"),TEXT(VALUE(LEFT(prevWBS,FIND("`",SUBSTITUTE(prevWBS,".","`",1))-1))+1,"#")))</f>
        <v/>
      </c>
      <c r="B8" s="281" t="inlineStr">
        <is>
          <t>Service engineers</t>
        </is>
      </c>
      <c r="C8" s="282" t="n"/>
      <c r="D8" s="283" t="n"/>
      <c r="E8" s="284" t="n"/>
      <c r="F8" s="285" t="n"/>
      <c r="G8" s="286">
        <f>IF(OR(E8=0,D8=0)," - ",NETWORKDAYS(D8,E8))</f>
        <v/>
      </c>
      <c r="H8" s="286" t="n"/>
      <c r="I8" s="286" t="n"/>
      <c r="J8" s="287" t="n"/>
      <c r="K8" s="288" t="n"/>
      <c r="L8" s="288" t="n"/>
      <c r="M8" s="288" t="n"/>
      <c r="N8" s="288" t="n"/>
      <c r="O8" s="288" t="n"/>
      <c r="P8" s="288" t="n"/>
      <c r="Q8" s="288" t="n"/>
      <c r="R8" s="288" t="n"/>
      <c r="S8" s="288" t="n"/>
      <c r="T8" s="288" t="n"/>
      <c r="U8" s="288" t="n"/>
      <c r="V8" s="288" t="n"/>
      <c r="W8" s="288" t="n"/>
      <c r="X8" s="288" t="n"/>
      <c r="Y8" s="288" t="n"/>
      <c r="Z8" s="288" t="n"/>
      <c r="AA8" s="288" t="n"/>
      <c r="AB8" s="288" t="n"/>
      <c r="AC8" s="288" t="n"/>
      <c r="AD8" s="288" t="n"/>
      <c r="AE8" s="288" t="n"/>
      <c r="AF8" s="288" t="n"/>
      <c r="AG8" s="288" t="n"/>
      <c r="AH8" s="288" t="n"/>
      <c r="AI8" s="288" t="n"/>
      <c r="AJ8" s="288" t="n"/>
      <c r="AK8" s="288" t="n"/>
      <c r="AL8" s="288" t="n"/>
      <c r="AM8" s="288" t="n"/>
      <c r="AN8" s="288" t="n"/>
      <c r="AO8" s="288" t="n"/>
      <c r="AP8" s="288" t="n"/>
      <c r="AQ8" s="288" t="n"/>
      <c r="AR8" s="288" t="n"/>
      <c r="AS8" s="288" t="n"/>
      <c r="AT8" s="288" t="n"/>
      <c r="AU8" s="288" t="n"/>
      <c r="AV8" s="288" t="n"/>
      <c r="AW8" s="288" t="n"/>
      <c r="AX8" s="288" t="n"/>
      <c r="AY8" s="288" t="n"/>
      <c r="AZ8" s="288" t="n"/>
      <c r="BA8" s="288" t="n"/>
      <c r="BB8" s="288" t="n"/>
      <c r="BC8" s="288" t="n"/>
      <c r="BD8" s="288" t="n"/>
      <c r="BE8" s="288" t="n"/>
      <c r="BF8" s="288" t="n"/>
      <c r="BG8" s="288" t="n"/>
      <c r="BH8" s="288" t="n"/>
      <c r="BI8" s="288" t="n"/>
      <c r="BJ8" s="288" t="n"/>
      <c r="BK8" s="288" t="n"/>
      <c r="BL8" s="288" t="n"/>
      <c r="BM8" s="288" t="n"/>
      <c r="BN8" s="288" t="n"/>
    </row>
    <row r="9" ht="18.75" customHeight="1">
      <c r="A9" s="289" t="n"/>
      <c r="B9" s="290" t="n"/>
      <c r="C9" s="291" t="n"/>
      <c r="D9" s="292" t="n"/>
      <c r="E9" s="293" t="n"/>
      <c r="F9" s="294">
        <f>IF(D9="","",IF(D9="N/A","N/A",IF(($C$5-D9+1)/G9&gt;1,1,IF(($C$5-D9+1)/G9&lt;0,0,IF(OR(D9=0,$C$5=0),"-",($C$5-D9+1)/G9)))))</f>
        <v/>
      </c>
      <c r="G9" s="295">
        <f>IF(D9="","",IF(D9="N/A","N/A",IF(OR(E9=0,D9=0)," - ",NETWORKDAYS(D9,E9))))</f>
        <v/>
      </c>
      <c r="H9" s="292" t="n"/>
      <c r="I9" s="296">
        <f>IF(D9="","",IF(AND(H9="-",$C$5&gt;E9),$C$5-E9,"-"))</f>
        <v/>
      </c>
      <c r="J9" s="297" t="n"/>
      <c r="K9" s="289" t="n"/>
      <c r="L9" s="289" t="n"/>
      <c r="M9" s="289" t="n"/>
      <c r="N9" s="289" t="n"/>
      <c r="O9" s="289" t="n"/>
      <c r="P9" s="289" t="n"/>
      <c r="Q9" s="289" t="n"/>
      <c r="R9" s="289" t="n"/>
      <c r="S9" s="289" t="n"/>
      <c r="T9" s="289" t="n"/>
      <c r="U9" s="289" t="n"/>
      <c r="V9" s="289" t="n"/>
      <c r="W9" s="289" t="n"/>
      <c r="X9" s="289" t="n"/>
      <c r="Y9" s="289" t="n"/>
      <c r="Z9" s="289" t="n"/>
      <c r="AA9" s="289" t="n"/>
      <c r="AB9" s="289" t="n"/>
      <c r="AC9" s="289" t="n"/>
      <c r="AD9" s="289" t="n"/>
      <c r="AE9" s="289" t="n"/>
      <c r="AF9" s="289" t="n"/>
      <c r="AG9" s="289" t="n"/>
      <c r="AH9" s="289" t="n"/>
      <c r="AI9" s="289" t="n"/>
      <c r="AJ9" s="289" t="n"/>
      <c r="AK9" s="289" t="n"/>
      <c r="AL9" s="289" t="n"/>
      <c r="AM9" s="289" t="n"/>
      <c r="AN9" s="289" t="n"/>
      <c r="AO9" s="289" t="n"/>
      <c r="AP9" s="289" t="n"/>
      <c r="AQ9" s="289" t="n"/>
      <c r="AR9" s="289" t="n"/>
      <c r="AS9" s="289" t="n"/>
      <c r="AT9" s="289" t="n"/>
      <c r="AU9" s="289" t="n"/>
      <c r="AV9" s="289" t="n"/>
      <c r="AW9" s="289" t="n"/>
      <c r="AX9" s="289" t="n"/>
      <c r="AY9" s="289" t="n"/>
      <c r="AZ9" s="289" t="n"/>
      <c r="BA9" s="289" t="n"/>
      <c r="BB9" s="289" t="n"/>
      <c r="BC9" s="289" t="n"/>
      <c r="BD9" s="289" t="n"/>
      <c r="BE9" s="289" t="n"/>
      <c r="BF9" s="289" t="n"/>
      <c r="BG9" s="289" t="n"/>
      <c r="BH9" s="289" t="n"/>
      <c r="BI9" s="289" t="n"/>
      <c r="BJ9" s="289" t="n"/>
      <c r="BK9" s="289" t="n"/>
      <c r="BL9" s="289" t="n"/>
      <c r="BM9" s="289" t="n"/>
      <c r="BN9" s="289" t="n"/>
    </row>
    <row r="10" ht="18.75" customHeight="1">
      <c r="A10" s="289" t="n"/>
      <c r="B10" s="290" t="n"/>
      <c r="C10" s="291" t="n"/>
      <c r="D10" s="292" t="n"/>
      <c r="E10" s="293" t="n"/>
      <c r="F10" s="294">
        <f>IF(D10="","",IF(D10="N/A","N/A",IF(($C$5-D10+1)/G10&gt;1,1,IF(($C$5-D10+1)/G10&lt;0,0,IF(OR(D10=0,$C$5=0),"-",($C$5-D10+1)/G10)))))</f>
        <v/>
      </c>
      <c r="G10" s="295">
        <f>IF(D10="","",IF(D10="N/A","N/A",IF(OR(E10=0,D10=0)," - ",NETWORKDAYS(D10,E10))))</f>
        <v/>
      </c>
      <c r="H10" s="292" t="n"/>
      <c r="I10" s="296">
        <f>IF(D10="","",IF(AND(H10="-",$C$5&gt;E10),$C$5-E10,"-"))</f>
        <v/>
      </c>
      <c r="J10" s="297" t="n"/>
      <c r="K10" s="289" t="n"/>
      <c r="L10" s="289" t="n"/>
      <c r="M10" s="289" t="n"/>
      <c r="N10" s="289" t="n"/>
      <c r="O10" s="289" t="n"/>
      <c r="P10" s="289" t="n"/>
      <c r="Q10" s="289" t="n"/>
      <c r="R10" s="289" t="n"/>
      <c r="S10" s="289" t="n"/>
      <c r="T10" s="289" t="n"/>
      <c r="U10" s="289" t="n"/>
      <c r="V10" s="289" t="n"/>
      <c r="W10" s="289" t="n"/>
      <c r="X10" s="289" t="n"/>
      <c r="Y10" s="289" t="n"/>
      <c r="Z10" s="289" t="n"/>
      <c r="AA10" s="289" t="n"/>
      <c r="AB10" s="289" t="n"/>
      <c r="AC10" s="289" t="n"/>
      <c r="AD10" s="289" t="n"/>
      <c r="AE10" s="289" t="n"/>
      <c r="AF10" s="289" t="n"/>
      <c r="AG10" s="289" t="n"/>
      <c r="AH10" s="289" t="n"/>
      <c r="AI10" s="289" t="n"/>
      <c r="AJ10" s="289" t="n"/>
      <c r="AK10" s="289" t="n"/>
      <c r="AL10" s="289" t="n"/>
      <c r="AM10" s="289" t="n"/>
      <c r="AN10" s="289" t="n"/>
      <c r="AO10" s="289" t="n"/>
      <c r="AP10" s="289" t="n"/>
      <c r="AQ10" s="289" t="n"/>
      <c r="AR10" s="289" t="n"/>
      <c r="AS10" s="289" t="n"/>
      <c r="AT10" s="289" t="n"/>
      <c r="AU10" s="289" t="n"/>
      <c r="AV10" s="289" t="n"/>
      <c r="AW10" s="289" t="n"/>
      <c r="AX10" s="289" t="n"/>
      <c r="AY10" s="289" t="n"/>
      <c r="AZ10" s="289" t="n"/>
      <c r="BA10" s="289" t="n"/>
      <c r="BB10" s="289" t="n"/>
      <c r="BC10" s="289" t="n"/>
      <c r="BD10" s="289" t="n"/>
      <c r="BE10" s="289" t="n"/>
      <c r="BF10" s="289" t="n"/>
      <c r="BG10" s="289" t="n"/>
      <c r="BH10" s="289" t="n"/>
      <c r="BI10" s="289" t="n"/>
      <c r="BJ10" s="289" t="n"/>
      <c r="BK10" s="289" t="n"/>
      <c r="BL10" s="289" t="n"/>
      <c r="BM10" s="289" t="n"/>
      <c r="BN10" s="289" t="n"/>
    </row>
    <row r="11" ht="18.75" customHeight="1">
      <c r="A11" s="289" t="n"/>
      <c r="B11" s="290" t="n"/>
      <c r="C11" s="291" t="n"/>
      <c r="D11" s="292" t="n"/>
      <c r="E11" s="293" t="n"/>
      <c r="F11" s="294">
        <f>IF(D11="","",IF(D11="N/A","N/A",IF(($C$5-D11+1)/G11&gt;1,1,IF(($C$5-D11+1)/G11&lt;0,0,IF(OR(D11=0,$C$5=0),"-",($C$5-D11+1)/G11)))))</f>
        <v/>
      </c>
      <c r="G11" s="295">
        <f>IF(D11="","",IF(D11="N/A","N/A",IF(OR(E11=0,D11=0)," - ",NETWORKDAYS(D11,E11))))</f>
        <v/>
      </c>
      <c r="H11" s="292" t="n"/>
      <c r="I11" s="296">
        <f>IF(D11="","",IF(AND(H11="-",$C$5&gt;E11),$C$5-E11,"-"))</f>
        <v/>
      </c>
      <c r="J11" s="297" t="n"/>
      <c r="K11" s="289" t="n"/>
      <c r="L11" s="289" t="n"/>
      <c r="M11" s="289" t="n"/>
      <c r="N11" s="289" t="n"/>
      <c r="O11" s="289" t="n"/>
      <c r="P11" s="289" t="n"/>
      <c r="Q11" s="289" t="n"/>
      <c r="R11" s="289" t="n"/>
      <c r="S11" s="289" t="n"/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89" t="n"/>
      <c r="AL11" s="289" t="n"/>
      <c r="AM11" s="289" t="n"/>
      <c r="AN11" s="289" t="n"/>
      <c r="AO11" s="289" t="n"/>
      <c r="AP11" s="289" t="n"/>
      <c r="AQ11" s="289" t="n"/>
      <c r="AR11" s="289" t="n"/>
      <c r="AS11" s="289" t="n"/>
      <c r="AT11" s="289" t="n"/>
      <c r="AU11" s="289" t="n"/>
      <c r="AV11" s="289" t="n"/>
      <c r="AW11" s="289" t="n"/>
      <c r="AX11" s="289" t="n"/>
      <c r="AY11" s="289" t="n"/>
      <c r="AZ11" s="289" t="n"/>
      <c r="BA11" s="289" t="n"/>
      <c r="BB11" s="289" t="n"/>
      <c r="BC11" s="289" t="n"/>
      <c r="BD11" s="289" t="n"/>
      <c r="BE11" s="289" t="n"/>
      <c r="BF11" s="289" t="n"/>
      <c r="BG11" s="289" t="n"/>
      <c r="BH11" s="289" t="n"/>
      <c r="BI11" s="289" t="n"/>
      <c r="BJ11" s="289" t="n"/>
      <c r="BK11" s="289" t="n"/>
      <c r="BL11" s="289" t="n"/>
      <c r="BM11" s="289" t="n"/>
      <c r="BN11" s="289" t="n"/>
    </row>
    <row r="12" ht="18.75" customHeight="1">
      <c r="A12" s="289" t="n"/>
      <c r="B12" s="290" t="n"/>
      <c r="C12" s="291" t="n"/>
      <c r="D12" s="292" t="n"/>
      <c r="E12" s="293" t="n"/>
      <c r="F12" s="294">
        <f>IF(D12="","",IF(D12="N/A","N/A",IF(($C$5-D12+1)/G12&gt;1,1,IF(($C$5-D12+1)/G12&lt;0,0,IF(OR(D12=0,$C$5=0),"-",($C$5-D12+1)/G12)))))</f>
        <v/>
      </c>
      <c r="G12" s="295">
        <f>IF(D12="","",IF(D12="N/A","N/A",IF(OR(E12=0,D12=0)," - ",NETWORKDAYS(D12,E12))))</f>
        <v/>
      </c>
      <c r="H12" s="292" t="n"/>
      <c r="I12" s="296">
        <f>IF(D12="","",IF(AND(H12="-",$C$5&gt;E12),$C$5-E12,"-"))</f>
        <v/>
      </c>
      <c r="J12" s="297" t="n"/>
      <c r="K12" s="289" t="n"/>
      <c r="L12" s="289" t="n"/>
      <c r="M12" s="289" t="n"/>
      <c r="N12" s="289" t="n"/>
      <c r="O12" s="289" t="n"/>
      <c r="P12" s="289" t="n"/>
      <c r="Q12" s="289" t="n"/>
      <c r="R12" s="289" t="n"/>
      <c r="S12" s="289" t="n"/>
      <c r="T12" s="289" t="n"/>
      <c r="U12" s="289" t="n"/>
      <c r="V12" s="289" t="n"/>
      <c r="W12" s="289" t="n"/>
      <c r="X12" s="289" t="n"/>
      <c r="Y12" s="289" t="n"/>
      <c r="Z12" s="289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89" t="n"/>
      <c r="AL12" s="289" t="n"/>
      <c r="AM12" s="289" t="n"/>
      <c r="AN12" s="289" t="n"/>
      <c r="AO12" s="289" t="n"/>
      <c r="AP12" s="289" t="n"/>
      <c r="AQ12" s="289" t="n"/>
      <c r="AR12" s="289" t="n"/>
      <c r="AS12" s="289" t="n"/>
      <c r="AT12" s="289" t="n"/>
      <c r="AU12" s="289" t="n"/>
      <c r="AV12" s="289" t="n"/>
      <c r="AW12" s="289" t="n"/>
      <c r="AX12" s="289" t="n"/>
      <c r="AY12" s="289" t="n"/>
      <c r="AZ12" s="289" t="n"/>
      <c r="BA12" s="289" t="n"/>
      <c r="BB12" s="289" t="n"/>
      <c r="BC12" s="289" t="n"/>
      <c r="BD12" s="289" t="n"/>
      <c r="BE12" s="289" t="n"/>
      <c r="BF12" s="289" t="n"/>
      <c r="BG12" s="289" t="n"/>
      <c r="BH12" s="289" t="n"/>
      <c r="BI12" s="289" t="n"/>
      <c r="BJ12" s="289" t="n"/>
      <c r="BK12" s="289" t="n"/>
      <c r="BL12" s="289" t="n"/>
      <c r="BM12" s="289" t="n"/>
      <c r="BN12" s="289" t="n"/>
    </row>
    <row r="13" ht="18.75" customHeight="1">
      <c r="A13" s="289" t="n"/>
      <c r="B13" s="290" t="n"/>
      <c r="C13" s="291" t="n"/>
      <c r="D13" s="292" t="n"/>
      <c r="E13" s="293" t="n"/>
      <c r="F13" s="294">
        <f>IF(D13="","",IF(D13="N/A","N/A",IF(($C$5-D13+1)/G13&gt;1,1,IF(($C$5-D13+1)/G13&lt;0,0,IF(OR(D13=0,$C$5=0),"-",($C$5-D13+1)/G13)))))</f>
        <v/>
      </c>
      <c r="G13" s="295">
        <f>IF(D13="","",IF(D13="N/A","N/A",IF(OR(E13=0,D13=0)," - ",NETWORKDAYS(D13,E13))))</f>
        <v/>
      </c>
      <c r="H13" s="292" t="n"/>
      <c r="I13" s="296">
        <f>IF(D13="","",IF(AND(H13="-",$C$5&gt;E13),$C$5-E13,"-"))</f>
        <v/>
      </c>
      <c r="J13" s="297" t="n"/>
      <c r="K13" s="289" t="n"/>
      <c r="L13" s="289" t="n"/>
      <c r="M13" s="289" t="n"/>
      <c r="N13" s="289" t="n"/>
      <c r="O13" s="289" t="n"/>
      <c r="P13" s="289" t="n"/>
      <c r="Q13" s="289" t="n"/>
      <c r="R13" s="289" t="n"/>
      <c r="S13" s="289" t="n"/>
      <c r="T13" s="289" t="n"/>
      <c r="U13" s="289" t="n"/>
      <c r="V13" s="289" t="n"/>
      <c r="W13" s="289" t="n"/>
      <c r="X13" s="289" t="n"/>
      <c r="Y13" s="289" t="n"/>
      <c r="Z13" s="289" t="n"/>
      <c r="AA13" s="289" t="n"/>
      <c r="AB13" s="289" t="n"/>
      <c r="AC13" s="289" t="n"/>
      <c r="AD13" s="289" t="n"/>
      <c r="AE13" s="289" t="n"/>
      <c r="AF13" s="289" t="n"/>
      <c r="AG13" s="289" t="n"/>
      <c r="AH13" s="289" t="n"/>
      <c r="AI13" s="289" t="n"/>
      <c r="AJ13" s="289" t="n"/>
      <c r="AK13" s="289" t="n"/>
      <c r="AL13" s="289" t="n"/>
      <c r="AM13" s="289" t="n"/>
      <c r="AN13" s="289" t="n"/>
      <c r="AO13" s="289" t="n"/>
      <c r="AP13" s="289" t="n"/>
      <c r="AQ13" s="289" t="n"/>
      <c r="AR13" s="289" t="n"/>
      <c r="AS13" s="289" t="n"/>
      <c r="AT13" s="289" t="n"/>
      <c r="AU13" s="289" t="n"/>
      <c r="AV13" s="289" t="n"/>
      <c r="AW13" s="289" t="n"/>
      <c r="AX13" s="289" t="n"/>
      <c r="AY13" s="289" t="n"/>
      <c r="AZ13" s="289" t="n"/>
      <c r="BA13" s="289" t="n"/>
      <c r="BB13" s="289" t="n"/>
      <c r="BC13" s="289" t="n"/>
      <c r="BD13" s="289" t="n"/>
      <c r="BE13" s="289" t="n"/>
      <c r="BF13" s="289" t="n"/>
      <c r="BG13" s="289" t="n"/>
      <c r="BH13" s="289" t="n"/>
      <c r="BI13" s="289" t="n"/>
      <c r="BJ13" s="289" t="n"/>
      <c r="BK13" s="289" t="n"/>
      <c r="BL13" s="289" t="n"/>
      <c r="BM13" s="289" t="n"/>
      <c r="BN13" s="289" t="n"/>
    </row>
    <row r="14" ht="18.75" customHeight="1">
      <c r="A14" s="289" t="n"/>
      <c r="B14" s="290" t="n"/>
      <c r="C14" s="291" t="n"/>
      <c r="D14" s="292" t="n"/>
      <c r="E14" s="293" t="n"/>
      <c r="F14" s="294">
        <f>IF(D14="","",IF(D14="N/A","N/A",IF(($C$5-D14+1)/G14&gt;1,1,IF(($C$5-D14+1)/G14&lt;0,0,IF(OR(D14=0,$C$5=0),"-",($C$5-D14+1)/G14)))))</f>
        <v/>
      </c>
      <c r="G14" s="295">
        <f>IF(D14="","",IF(D14="N/A","N/A",IF(OR(E14=0,D14=0)," - ",NETWORKDAYS(D14,E14))))</f>
        <v/>
      </c>
      <c r="H14" s="292" t="n"/>
      <c r="I14" s="296">
        <f>IF(D14="","",IF(AND(H14="-",$C$5&gt;E14),$C$5-E14,"-"))</f>
        <v/>
      </c>
      <c r="J14" s="297" t="n"/>
      <c r="K14" s="289" t="n"/>
      <c r="L14" s="289" t="n"/>
      <c r="M14" s="289" t="n"/>
      <c r="N14" s="289" t="n"/>
      <c r="O14" s="289" t="n"/>
      <c r="P14" s="289" t="n"/>
      <c r="Q14" s="289" t="n"/>
      <c r="R14" s="289" t="n"/>
      <c r="S14" s="289" t="n"/>
      <c r="T14" s="289" t="n"/>
      <c r="U14" s="289" t="n"/>
      <c r="V14" s="289" t="n"/>
      <c r="W14" s="289" t="n"/>
      <c r="X14" s="289" t="n"/>
      <c r="Y14" s="289" t="n"/>
      <c r="Z14" s="289" t="n"/>
      <c r="AA14" s="289" t="n"/>
      <c r="AB14" s="289" t="n"/>
      <c r="AC14" s="289" t="n"/>
      <c r="AD14" s="289" t="n"/>
      <c r="AE14" s="289" t="n"/>
      <c r="AF14" s="289" t="n"/>
      <c r="AG14" s="289" t="n"/>
      <c r="AH14" s="289" t="n"/>
      <c r="AI14" s="289" t="n"/>
      <c r="AJ14" s="289" t="n"/>
      <c r="AK14" s="289" t="n"/>
      <c r="AL14" s="289" t="n"/>
      <c r="AM14" s="289" t="n"/>
      <c r="AN14" s="289" t="n"/>
      <c r="AO14" s="289" t="n"/>
      <c r="AP14" s="289" t="n"/>
      <c r="AQ14" s="289" t="n"/>
      <c r="AR14" s="289" t="n"/>
      <c r="AS14" s="289" t="n"/>
      <c r="AT14" s="289" t="n"/>
      <c r="AU14" s="289" t="n"/>
      <c r="AV14" s="289" t="n"/>
      <c r="AW14" s="289" t="n"/>
      <c r="AX14" s="289" t="n"/>
      <c r="AY14" s="289" t="n"/>
      <c r="AZ14" s="289" t="n"/>
      <c r="BA14" s="289" t="n"/>
      <c r="BB14" s="289" t="n"/>
      <c r="BC14" s="289" t="n"/>
      <c r="BD14" s="289" t="n"/>
      <c r="BE14" s="289" t="n"/>
      <c r="BF14" s="289" t="n"/>
      <c r="BG14" s="289" t="n"/>
      <c r="BH14" s="289" t="n"/>
      <c r="BI14" s="289" t="n"/>
      <c r="BJ14" s="289" t="n"/>
      <c r="BK14" s="289" t="n"/>
      <c r="BL14" s="289" t="n"/>
      <c r="BM14" s="289" t="n"/>
      <c r="BN14" s="289" t="n"/>
    </row>
    <row r="15" ht="18.75" customHeight="1">
      <c r="A15" s="289" t="n"/>
      <c r="B15" s="290" t="n"/>
      <c r="C15" s="291" t="n"/>
      <c r="D15" s="292" t="n"/>
      <c r="E15" s="293" t="n"/>
      <c r="F15" s="294">
        <f>IF(D15="","",IF(D15="N/A","N/A",IF(($C$5-D15+1)/G15&gt;1,1,IF(($C$5-D15+1)/G15&lt;0,0,IF(OR(D15=0,$C$5=0),"-",($C$5-D15+1)/G15)))))</f>
        <v/>
      </c>
      <c r="G15" s="295">
        <f>IF(D15="","",IF(D15="N/A","N/A",IF(OR(E15=0,D15=0)," - ",NETWORKDAYS(D15,E15))))</f>
        <v/>
      </c>
      <c r="H15" s="292" t="n"/>
      <c r="I15" s="296">
        <f>IF(D15="","",IF(AND(H15="-",$C$5&gt;E15),$C$5-E15,"-"))</f>
        <v/>
      </c>
      <c r="J15" s="297" t="n"/>
      <c r="K15" s="289" t="n"/>
      <c r="L15" s="289" t="n"/>
      <c r="M15" s="289" t="n"/>
      <c r="N15" s="289" t="n"/>
      <c r="O15" s="289" t="n"/>
      <c r="P15" s="289" t="n"/>
      <c r="Q15" s="289" t="n"/>
      <c r="R15" s="289" t="n"/>
      <c r="S15" s="289" t="n"/>
      <c r="T15" s="289" t="n"/>
      <c r="U15" s="289" t="n"/>
      <c r="V15" s="289" t="n"/>
      <c r="W15" s="289" t="n"/>
      <c r="X15" s="289" t="n"/>
      <c r="Y15" s="289" t="n"/>
      <c r="Z15" s="289" t="n"/>
      <c r="AA15" s="289" t="n"/>
      <c r="AB15" s="289" t="n"/>
      <c r="AC15" s="289" t="n"/>
      <c r="AD15" s="289" t="n"/>
      <c r="AE15" s="289" t="n"/>
      <c r="AF15" s="289" t="n"/>
      <c r="AG15" s="289" t="n"/>
      <c r="AH15" s="289" t="n"/>
      <c r="AI15" s="289" t="n"/>
      <c r="AJ15" s="289" t="n"/>
      <c r="AK15" s="289" t="n"/>
      <c r="AL15" s="289" t="n"/>
      <c r="AM15" s="289" t="n"/>
      <c r="AN15" s="289" t="n"/>
      <c r="AO15" s="289" t="n"/>
      <c r="AP15" s="289" t="n"/>
      <c r="AQ15" s="289" t="n"/>
      <c r="AR15" s="289" t="n"/>
      <c r="AS15" s="289" t="n"/>
      <c r="AT15" s="289" t="n"/>
      <c r="AU15" s="289" t="n"/>
      <c r="AV15" s="289" t="n"/>
      <c r="AW15" s="289" t="n"/>
      <c r="AX15" s="289" t="n"/>
      <c r="AY15" s="289" t="n"/>
      <c r="AZ15" s="289" t="n"/>
      <c r="BA15" s="289" t="n"/>
      <c r="BB15" s="289" t="n"/>
      <c r="BC15" s="289" t="n"/>
      <c r="BD15" s="289" t="n"/>
      <c r="BE15" s="289" t="n"/>
      <c r="BF15" s="289" t="n"/>
      <c r="BG15" s="289" t="n"/>
      <c r="BH15" s="289" t="n"/>
      <c r="BI15" s="289" t="n"/>
      <c r="BJ15" s="289" t="n"/>
      <c r="BK15" s="289" t="n"/>
      <c r="BL15" s="289" t="n"/>
      <c r="BM15" s="289" t="n"/>
      <c r="BN15" s="289" t="n"/>
    </row>
    <row r="16" ht="18.75" customHeight="1">
      <c r="A16" s="289" t="n"/>
      <c r="B16" s="290" t="n"/>
      <c r="C16" s="291" t="n"/>
      <c r="D16" s="292" t="n"/>
      <c r="E16" s="293" t="n"/>
      <c r="F16" s="294">
        <f>IF(D16="","",IF(D16="N/A","N/A",IF(($C$5-D16+1)/G16&gt;1,1,IF(($C$5-D16+1)/G16&lt;0,0,IF(OR(D16=0,$C$5=0),"-",($C$5-D16+1)/G16)))))</f>
        <v/>
      </c>
      <c r="G16" s="295">
        <f>IF(D16="","",IF(D16="N/A","N/A",IF(OR(E16=0,D16=0)," - ",NETWORKDAYS(D16,E16))))</f>
        <v/>
      </c>
      <c r="H16" s="292" t="n"/>
      <c r="I16" s="296">
        <f>IF(D16="","",IF(AND(H16="-",$C$5&gt;E16),$C$5-E16,"-"))</f>
        <v/>
      </c>
      <c r="J16" s="297" t="n"/>
      <c r="K16" s="289" t="n"/>
      <c r="L16" s="289" t="n"/>
      <c r="M16" s="289" t="n"/>
      <c r="N16" s="289" t="n"/>
      <c r="O16" s="289" t="n"/>
      <c r="P16" s="289" t="n"/>
      <c r="Q16" s="289" t="n"/>
      <c r="R16" s="289" t="n"/>
      <c r="S16" s="289" t="n"/>
      <c r="T16" s="289" t="n"/>
      <c r="U16" s="289" t="n"/>
      <c r="V16" s="289" t="n"/>
      <c r="W16" s="289" t="n"/>
      <c r="X16" s="289" t="n"/>
      <c r="Y16" s="289" t="n"/>
      <c r="Z16" s="289" t="n"/>
      <c r="AA16" s="289" t="n"/>
      <c r="AB16" s="289" t="n"/>
      <c r="AC16" s="289" t="n"/>
      <c r="AD16" s="289" t="n"/>
      <c r="AE16" s="289" t="n"/>
      <c r="AF16" s="289" t="n"/>
      <c r="AG16" s="289" t="n"/>
      <c r="AH16" s="289" t="n"/>
      <c r="AI16" s="289" t="n"/>
      <c r="AJ16" s="289" t="n"/>
      <c r="AK16" s="289" t="n"/>
      <c r="AL16" s="289" t="n"/>
      <c r="AM16" s="289" t="n"/>
      <c r="AN16" s="289" t="n"/>
      <c r="AO16" s="289" t="n"/>
      <c r="AP16" s="289" t="n"/>
      <c r="AQ16" s="289" t="n"/>
      <c r="AR16" s="289" t="n"/>
      <c r="AS16" s="289" t="n"/>
      <c r="AT16" s="289" t="n"/>
      <c r="AU16" s="289" t="n"/>
      <c r="AV16" s="289" t="n"/>
      <c r="AW16" s="289" t="n"/>
      <c r="AX16" s="289" t="n"/>
      <c r="AY16" s="289" t="n"/>
      <c r="AZ16" s="289" t="n"/>
      <c r="BA16" s="289" t="n"/>
      <c r="BB16" s="289" t="n"/>
      <c r="BC16" s="289" t="n"/>
      <c r="BD16" s="289" t="n"/>
      <c r="BE16" s="289" t="n"/>
      <c r="BF16" s="289" t="n"/>
      <c r="BG16" s="289" t="n"/>
      <c r="BH16" s="289" t="n"/>
      <c r="BI16" s="289" t="n"/>
      <c r="BJ16" s="289" t="n"/>
      <c r="BK16" s="289" t="n"/>
      <c r="BL16" s="289" t="n"/>
      <c r="BM16" s="289" t="n"/>
      <c r="BN16" s="289" t="n"/>
    </row>
    <row r="17" ht="18.75" customHeight="1">
      <c r="A17" s="289" t="n"/>
      <c r="B17" s="290" t="n"/>
      <c r="C17" s="291" t="n"/>
      <c r="D17" s="292" t="n"/>
      <c r="E17" s="293" t="n"/>
      <c r="F17" s="294">
        <f>IF(D17="","",IF(D17="N/A","N/A",IF(($C$5-D17+1)/G17&gt;1,1,IF(($C$5-D17+1)/G17&lt;0,0,IF(OR(D17=0,$C$5=0),"-",($C$5-D17+1)/G17)))))</f>
        <v/>
      </c>
      <c r="G17" s="295">
        <f>IF(D17="","",IF(D17="N/A","N/A",IF(OR(E17=0,D17=0)," - ",NETWORKDAYS(D17,E17))))</f>
        <v/>
      </c>
      <c r="H17" s="292" t="n"/>
      <c r="I17" s="296">
        <f>IF(D17="","",IF(AND(H17="-",$C$5&gt;E17),$C$5-E17,"-"))</f>
        <v/>
      </c>
      <c r="J17" s="297" t="n"/>
      <c r="K17" s="289" t="n"/>
      <c r="L17" s="289" t="n"/>
      <c r="M17" s="289" t="n"/>
      <c r="N17" s="289" t="n"/>
      <c r="O17" s="289" t="n"/>
      <c r="P17" s="289" t="n"/>
      <c r="Q17" s="289" t="n"/>
      <c r="R17" s="289" t="n"/>
      <c r="S17" s="289" t="n"/>
      <c r="T17" s="289" t="n"/>
      <c r="U17" s="289" t="n"/>
      <c r="V17" s="289" t="n"/>
      <c r="W17" s="289" t="n"/>
      <c r="X17" s="289" t="n"/>
      <c r="Y17" s="289" t="n"/>
      <c r="Z17" s="289" t="n"/>
      <c r="AA17" s="289" t="n"/>
      <c r="AB17" s="289" t="n"/>
      <c r="AC17" s="289" t="n"/>
      <c r="AD17" s="289" t="n"/>
      <c r="AE17" s="289" t="n"/>
      <c r="AF17" s="289" t="n"/>
      <c r="AG17" s="289" t="n"/>
      <c r="AH17" s="289" t="n"/>
      <c r="AI17" s="289" t="n"/>
      <c r="AJ17" s="289" t="n"/>
      <c r="AK17" s="289" t="n"/>
      <c r="AL17" s="289" t="n"/>
      <c r="AM17" s="289" t="n"/>
      <c r="AN17" s="289" t="n"/>
      <c r="AO17" s="289" t="n"/>
      <c r="AP17" s="289" t="n"/>
      <c r="AQ17" s="289" t="n"/>
      <c r="AR17" s="289" t="n"/>
      <c r="AS17" s="289" t="n"/>
      <c r="AT17" s="289" t="n"/>
      <c r="AU17" s="289" t="n"/>
      <c r="AV17" s="289" t="n"/>
      <c r="AW17" s="289" t="n"/>
      <c r="AX17" s="289" t="n"/>
      <c r="AY17" s="289" t="n"/>
      <c r="AZ17" s="289" t="n"/>
      <c r="BA17" s="289" t="n"/>
      <c r="BB17" s="289" t="n"/>
      <c r="BC17" s="289" t="n"/>
      <c r="BD17" s="289" t="n"/>
      <c r="BE17" s="289" t="n"/>
      <c r="BF17" s="289" t="n"/>
      <c r="BG17" s="289" t="n"/>
      <c r="BH17" s="289" t="n"/>
      <c r="BI17" s="289" t="n"/>
      <c r="BJ17" s="289" t="n"/>
      <c r="BK17" s="289" t="n"/>
      <c r="BL17" s="289" t="n"/>
      <c r="BM17" s="289" t="n"/>
      <c r="BN17" s="289" t="n"/>
    </row>
    <row r="18" ht="18.75" customHeight="1">
      <c r="A18" s="289" t="n"/>
      <c r="B18" s="290" t="n"/>
      <c r="C18" s="291" t="n"/>
      <c r="D18" s="292" t="n"/>
      <c r="E18" s="293" t="n"/>
      <c r="F18" s="294">
        <f>IF(D18="","",IF(D18="N/A","N/A",IF(($C$5-D18+1)/G18&gt;1,1,IF(($C$5-D18+1)/G18&lt;0,0,IF(OR(D18=0,$C$5=0),"-",($C$5-D18+1)/G18)))))</f>
        <v/>
      </c>
      <c r="G18" s="295">
        <f>IF(D18="","",IF(D18="N/A","N/A",IF(OR(E18=0,D18=0)," - ",NETWORKDAYS(D18,E18))))</f>
        <v/>
      </c>
      <c r="H18" s="292" t="n"/>
      <c r="I18" s="296">
        <f>IF(D18="","",IF(AND(H18="-",$C$5&gt;E18),$C$5-E18,"-"))</f>
        <v/>
      </c>
      <c r="J18" s="297" t="n"/>
      <c r="K18" s="289" t="n"/>
      <c r="L18" s="289" t="n"/>
      <c r="M18" s="289" t="n"/>
      <c r="N18" s="289" t="n"/>
      <c r="O18" s="289" t="n"/>
      <c r="P18" s="289" t="n"/>
      <c r="Q18" s="289" t="n"/>
      <c r="R18" s="289" t="n"/>
      <c r="S18" s="289" t="n"/>
      <c r="T18" s="289" t="n"/>
      <c r="U18" s="289" t="n"/>
      <c r="V18" s="289" t="n"/>
      <c r="W18" s="289" t="n"/>
      <c r="X18" s="289" t="n"/>
      <c r="Y18" s="289" t="n"/>
      <c r="Z18" s="289" t="n"/>
      <c r="AA18" s="289" t="n"/>
      <c r="AB18" s="289" t="n"/>
      <c r="AC18" s="289" t="n"/>
      <c r="AD18" s="289" t="n"/>
      <c r="AE18" s="289" t="n"/>
      <c r="AF18" s="289" t="n"/>
      <c r="AG18" s="289" t="n"/>
      <c r="AH18" s="289" t="n"/>
      <c r="AI18" s="289" t="n"/>
      <c r="AJ18" s="289" t="n"/>
      <c r="AK18" s="289" t="n"/>
      <c r="AL18" s="289" t="n"/>
      <c r="AM18" s="289" t="n"/>
      <c r="AN18" s="289" t="n"/>
      <c r="AO18" s="289" t="n"/>
      <c r="AP18" s="289" t="n"/>
      <c r="AQ18" s="289" t="n"/>
      <c r="AR18" s="289" t="n"/>
      <c r="AS18" s="289" t="n"/>
      <c r="AT18" s="289" t="n"/>
      <c r="AU18" s="289" t="n"/>
      <c r="AV18" s="289" t="n"/>
      <c r="AW18" s="289" t="n"/>
      <c r="AX18" s="289" t="n"/>
      <c r="AY18" s="289" t="n"/>
      <c r="AZ18" s="289" t="n"/>
      <c r="BA18" s="289" t="n"/>
      <c r="BB18" s="289" t="n"/>
      <c r="BC18" s="289" t="n"/>
      <c r="BD18" s="289" t="n"/>
      <c r="BE18" s="289" t="n"/>
      <c r="BF18" s="289" t="n"/>
      <c r="BG18" s="289" t="n"/>
      <c r="BH18" s="289" t="n"/>
      <c r="BI18" s="289" t="n"/>
      <c r="BJ18" s="289" t="n"/>
      <c r="BK18" s="289" t="n"/>
      <c r="BL18" s="289" t="n"/>
      <c r="BM18" s="289" t="n"/>
      <c r="BN18" s="289" t="n"/>
    </row>
    <row r="19" ht="18.75" customHeight="1">
      <c r="A19" s="289" t="n"/>
      <c r="B19" s="290" t="n"/>
      <c r="C19" s="291" t="n"/>
      <c r="D19" s="292" t="n"/>
      <c r="E19" s="293" t="n"/>
      <c r="F19" s="294">
        <f>IF(D19="","",IF(D19="N/A","N/A",IF(($C$5-D19+1)/G19&gt;1,1,IF(($C$5-D19+1)/G19&lt;0,0,IF(OR(D19=0,$C$5=0),"-",($C$5-D19+1)/G19)))))</f>
        <v/>
      </c>
      <c r="G19" s="295">
        <f>IF(D19="","",IF(D19="N/A","N/A",IF(OR(E19=0,D19=0)," - ",NETWORKDAYS(D19,E19))))</f>
        <v/>
      </c>
      <c r="H19" s="292" t="n"/>
      <c r="I19" s="296">
        <f>IF(D19="","",IF(AND(H19="-",$C$5&gt;E19),$C$5-E19,"-"))</f>
        <v/>
      </c>
      <c r="J19" s="297" t="n"/>
      <c r="K19" s="289" t="n"/>
      <c r="L19" s="289" t="n"/>
      <c r="M19" s="289" t="n"/>
      <c r="N19" s="289" t="n"/>
      <c r="O19" s="289" t="n"/>
      <c r="P19" s="289" t="n"/>
      <c r="Q19" s="289" t="n"/>
      <c r="R19" s="289" t="n"/>
      <c r="S19" s="289" t="n"/>
      <c r="T19" s="289" t="n"/>
      <c r="U19" s="289" t="n"/>
      <c r="V19" s="289" t="n"/>
      <c r="W19" s="289" t="n"/>
      <c r="X19" s="289" t="n"/>
      <c r="Y19" s="289" t="n"/>
      <c r="Z19" s="289" t="n"/>
      <c r="AA19" s="289" t="n"/>
      <c r="AB19" s="289" t="n"/>
      <c r="AC19" s="289" t="n"/>
      <c r="AD19" s="289" t="n"/>
      <c r="AE19" s="289" t="n"/>
      <c r="AF19" s="289" t="n"/>
      <c r="AG19" s="289" t="n"/>
      <c r="AH19" s="289" t="n"/>
      <c r="AI19" s="289" t="n"/>
      <c r="AJ19" s="289" t="n"/>
      <c r="AK19" s="289" t="n"/>
      <c r="AL19" s="289" t="n"/>
      <c r="AM19" s="289" t="n"/>
      <c r="AN19" s="289" t="n"/>
      <c r="AO19" s="289" t="n"/>
      <c r="AP19" s="289" t="n"/>
      <c r="AQ19" s="289" t="n"/>
      <c r="AR19" s="289" t="n"/>
      <c r="AS19" s="289" t="n"/>
      <c r="AT19" s="289" t="n"/>
      <c r="AU19" s="289" t="n"/>
      <c r="AV19" s="289" t="n"/>
      <c r="AW19" s="289" t="n"/>
      <c r="AX19" s="289" t="n"/>
      <c r="AY19" s="289" t="n"/>
      <c r="AZ19" s="289" t="n"/>
      <c r="BA19" s="289" t="n"/>
      <c r="BB19" s="289" t="n"/>
      <c r="BC19" s="289" t="n"/>
      <c r="BD19" s="289" t="n"/>
      <c r="BE19" s="289" t="n"/>
      <c r="BF19" s="289" t="n"/>
      <c r="BG19" s="289" t="n"/>
      <c r="BH19" s="289" t="n"/>
      <c r="BI19" s="289" t="n"/>
      <c r="BJ19" s="289" t="n"/>
      <c r="BK19" s="289" t="n"/>
      <c r="BL19" s="289" t="n"/>
      <c r="BM19" s="289" t="n"/>
      <c r="BN19" s="289" t="n"/>
    </row>
    <row r="20" ht="18.75" customHeight="1">
      <c r="A20" s="289" t="n"/>
      <c r="B20" s="290" t="n"/>
      <c r="C20" s="291" t="n"/>
      <c r="D20" s="292" t="n"/>
      <c r="E20" s="293" t="n"/>
      <c r="F20" s="294">
        <f>IF(D20="","",IF(D20="N/A","N/A",IF(($C$5-D20+1)/G20&gt;1,1,IF(($C$5-D20+1)/G20&lt;0,0,IF(OR(D20=0,$C$5=0),"-",($C$5-D20+1)/G20)))))</f>
        <v/>
      </c>
      <c r="G20" s="295">
        <f>IF(D20="","",IF(D20="N/A","N/A",IF(OR(E20=0,D20=0)," - ",NETWORKDAYS(D20,E20))))</f>
        <v/>
      </c>
      <c r="H20" s="292" t="n"/>
      <c r="I20" s="296">
        <f>IF(D20="","",IF(AND(H20="-",$C$5&gt;E20),$C$5-E20,"-"))</f>
        <v/>
      </c>
      <c r="J20" s="297" t="n"/>
      <c r="K20" s="289" t="n"/>
      <c r="L20" s="289" t="n"/>
      <c r="M20" s="289" t="n"/>
      <c r="N20" s="289" t="n"/>
      <c r="O20" s="289" t="n"/>
      <c r="P20" s="289" t="n"/>
      <c r="Q20" s="289" t="n"/>
      <c r="R20" s="289" t="n"/>
      <c r="S20" s="289" t="n"/>
      <c r="T20" s="289" t="n"/>
      <c r="U20" s="289" t="n"/>
      <c r="V20" s="289" t="n"/>
      <c r="W20" s="289" t="n"/>
      <c r="X20" s="289" t="n"/>
      <c r="Y20" s="289" t="n"/>
      <c r="Z20" s="289" t="n"/>
      <c r="AA20" s="289" t="n"/>
      <c r="AB20" s="289" t="n"/>
      <c r="AC20" s="289" t="n"/>
      <c r="AD20" s="289" t="n"/>
      <c r="AE20" s="289" t="n"/>
      <c r="AF20" s="289" t="n"/>
      <c r="AG20" s="289" t="n"/>
      <c r="AH20" s="289" t="n"/>
      <c r="AI20" s="289" t="n"/>
      <c r="AJ20" s="289" t="n"/>
      <c r="AK20" s="289" t="n"/>
      <c r="AL20" s="289" t="n"/>
      <c r="AM20" s="289" t="n"/>
      <c r="AN20" s="289" t="n"/>
      <c r="AO20" s="289" t="n"/>
      <c r="AP20" s="289" t="n"/>
      <c r="AQ20" s="289" t="n"/>
      <c r="AR20" s="289" t="n"/>
      <c r="AS20" s="289" t="n"/>
      <c r="AT20" s="289" t="n"/>
      <c r="AU20" s="289" t="n"/>
      <c r="AV20" s="289" t="n"/>
      <c r="AW20" s="289" t="n"/>
      <c r="AX20" s="289" t="n"/>
      <c r="AY20" s="289" t="n"/>
      <c r="AZ20" s="289" t="n"/>
      <c r="BA20" s="289" t="n"/>
      <c r="BB20" s="289" t="n"/>
      <c r="BC20" s="289" t="n"/>
      <c r="BD20" s="289" t="n"/>
      <c r="BE20" s="289" t="n"/>
      <c r="BF20" s="289" t="n"/>
      <c r="BG20" s="289" t="n"/>
      <c r="BH20" s="289" t="n"/>
      <c r="BI20" s="289" t="n"/>
      <c r="BJ20" s="289" t="n"/>
      <c r="BK20" s="289" t="n"/>
      <c r="BL20" s="289" t="n"/>
      <c r="BM20" s="289" t="n"/>
      <c r="BN20" s="289" t="n"/>
    </row>
    <row r="21" ht="18.75" customHeight="1">
      <c r="A21" s="289" t="n"/>
      <c r="B21" s="290" t="n"/>
      <c r="C21" s="291" t="n"/>
      <c r="D21" s="292" t="n"/>
      <c r="E21" s="293" t="n"/>
      <c r="F21" s="294">
        <f>IF(D21="","",IF(D21="N/A","N/A",IF(($C$5-D21+1)/G21&gt;1,1,IF(($C$5-D21+1)/G21&lt;0,0,IF(OR(D21=0,$C$5=0),"-",($C$5-D21+1)/G21)))))</f>
        <v/>
      </c>
      <c r="G21" s="295">
        <f>IF(D21="","",IF(D21="N/A","N/A",IF(OR(E21=0,D21=0)," - ",NETWORKDAYS(D21,E21))))</f>
        <v/>
      </c>
      <c r="H21" s="292" t="n"/>
      <c r="I21" s="296">
        <f>IF(D21="","",IF(AND(H21="-",$C$5&gt;E21),$C$5-E21,"-"))</f>
        <v/>
      </c>
      <c r="J21" s="297" t="n"/>
      <c r="K21" s="289" t="n"/>
      <c r="L21" s="289" t="n"/>
      <c r="M21" s="289" t="n"/>
      <c r="N21" s="289" t="n"/>
      <c r="O21" s="289" t="n"/>
      <c r="P21" s="289" t="n"/>
      <c r="Q21" s="289" t="n"/>
      <c r="R21" s="289" t="n"/>
      <c r="S21" s="289" t="n"/>
      <c r="T21" s="289" t="n"/>
      <c r="U21" s="289" t="n"/>
      <c r="V21" s="289" t="n"/>
      <c r="W21" s="289" t="n"/>
      <c r="X21" s="289" t="n"/>
      <c r="Y21" s="289" t="n"/>
      <c r="Z21" s="289" t="n"/>
      <c r="AA21" s="289" t="n"/>
      <c r="AB21" s="289" t="n"/>
      <c r="AC21" s="289" t="n"/>
      <c r="AD21" s="289" t="n"/>
      <c r="AE21" s="289" t="n"/>
      <c r="AF21" s="289" t="n"/>
      <c r="AG21" s="289" t="n"/>
      <c r="AH21" s="289" t="n"/>
      <c r="AI21" s="289" t="n"/>
      <c r="AJ21" s="289" t="n"/>
      <c r="AK21" s="289" t="n"/>
      <c r="AL21" s="289" t="n"/>
      <c r="AM21" s="289" t="n"/>
      <c r="AN21" s="289" t="n"/>
      <c r="AO21" s="289" t="n"/>
      <c r="AP21" s="289" t="n"/>
      <c r="AQ21" s="289" t="n"/>
      <c r="AR21" s="289" t="n"/>
      <c r="AS21" s="289" t="n"/>
      <c r="AT21" s="289" t="n"/>
      <c r="AU21" s="289" t="n"/>
      <c r="AV21" s="289" t="n"/>
      <c r="AW21" s="289" t="n"/>
      <c r="AX21" s="289" t="n"/>
      <c r="AY21" s="289" t="n"/>
      <c r="AZ21" s="289" t="n"/>
      <c r="BA21" s="289" t="n"/>
      <c r="BB21" s="289" t="n"/>
      <c r="BC21" s="289" t="n"/>
      <c r="BD21" s="289" t="n"/>
      <c r="BE21" s="289" t="n"/>
      <c r="BF21" s="289" t="n"/>
      <c r="BG21" s="289" t="n"/>
      <c r="BH21" s="289" t="n"/>
      <c r="BI21" s="289" t="n"/>
      <c r="BJ21" s="289" t="n"/>
      <c r="BK21" s="289" t="n"/>
      <c r="BL21" s="289" t="n"/>
      <c r="BM21" s="289" t="n"/>
      <c r="BN21" s="289" t="n"/>
    </row>
    <row r="22" ht="18.75" customHeight="1">
      <c r="A22" s="289" t="n"/>
      <c r="B22" s="290" t="n"/>
      <c r="C22" s="291" t="n"/>
      <c r="D22" s="292" t="n"/>
      <c r="E22" s="293" t="n"/>
      <c r="F22" s="294">
        <f>IF(D22="","",IF(D22="N/A","N/A",IF(($C$5-D22+1)/G22&gt;1,1,IF(($C$5-D22+1)/G22&lt;0,0,IF(OR(D22=0,$C$5=0),"-",($C$5-D22+1)/G22)))))</f>
        <v/>
      </c>
      <c r="G22" s="295">
        <f>IF(D22="","",IF(D22="N/A","N/A",IF(OR(E22=0,D22=0)," - ",NETWORKDAYS(D22,E22))))</f>
        <v/>
      </c>
      <c r="H22" s="292" t="n"/>
      <c r="I22" s="296">
        <f>IF(D22="","",IF(AND(H22="-",$C$5&gt;E22),$C$5-E22,"-"))</f>
        <v/>
      </c>
      <c r="J22" s="297" t="n"/>
      <c r="K22" s="289" t="n"/>
      <c r="L22" s="289" t="n"/>
      <c r="M22" s="289" t="n"/>
      <c r="N22" s="289" t="n"/>
      <c r="O22" s="289" t="n"/>
      <c r="P22" s="289" t="n"/>
      <c r="Q22" s="289" t="n"/>
      <c r="R22" s="289" t="n"/>
      <c r="S22" s="289" t="n"/>
      <c r="T22" s="289" t="n"/>
      <c r="U22" s="289" t="n"/>
      <c r="V22" s="289" t="n"/>
      <c r="W22" s="289" t="n"/>
      <c r="X22" s="289" t="n"/>
      <c r="Y22" s="289" t="n"/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89" t="n"/>
      <c r="AL22" s="289" t="n"/>
      <c r="AM22" s="289" t="n"/>
      <c r="AN22" s="289" t="n"/>
      <c r="AO22" s="289" t="n"/>
      <c r="AP22" s="289" t="n"/>
      <c r="AQ22" s="289" t="n"/>
      <c r="AR22" s="289" t="n"/>
      <c r="AS22" s="289" t="n"/>
      <c r="AT22" s="289" t="n"/>
      <c r="AU22" s="289" t="n"/>
      <c r="AV22" s="289" t="n"/>
      <c r="AW22" s="289" t="n"/>
      <c r="AX22" s="289" t="n"/>
      <c r="AY22" s="289" t="n"/>
      <c r="AZ22" s="289" t="n"/>
      <c r="BA22" s="289" t="n"/>
      <c r="BB22" s="289" t="n"/>
      <c r="BC22" s="289" t="n"/>
      <c r="BD22" s="289" t="n"/>
      <c r="BE22" s="289" t="n"/>
      <c r="BF22" s="289" t="n"/>
      <c r="BG22" s="289" t="n"/>
      <c r="BH22" s="289" t="n"/>
      <c r="BI22" s="289" t="n"/>
      <c r="BJ22" s="289" t="n"/>
      <c r="BK22" s="289" t="n"/>
      <c r="BL22" s="289" t="n"/>
      <c r="BM22" s="289" t="n"/>
      <c r="BN22" s="289" t="n"/>
    </row>
    <row r="23" ht="18.75" customHeight="1">
      <c r="A23" s="289" t="n"/>
      <c r="B23" s="290" t="n"/>
      <c r="C23" s="291" t="n"/>
      <c r="D23" s="292" t="n"/>
      <c r="E23" s="293" t="n"/>
      <c r="F23" s="294">
        <f>IF(D23="","",IF(D23="N/A","N/A",IF(($C$5-D23+1)/G23&gt;1,1,IF(($C$5-D23+1)/G23&lt;0,0,IF(OR(D23=0,$C$5=0),"-",($C$5-D23+1)/G23)))))</f>
        <v/>
      </c>
      <c r="G23" s="295">
        <f>IF(D23="","",IF(D23="N/A","N/A",IF(OR(E23=0,D23=0)," - ",NETWORKDAYS(D23,E23))))</f>
        <v/>
      </c>
      <c r="H23" s="292" t="n"/>
      <c r="I23" s="296">
        <f>IF(D23="","",IF(AND(H23="-",$C$5&gt;E23),$C$5-E23,"-"))</f>
        <v/>
      </c>
      <c r="J23" s="297" t="n"/>
      <c r="K23" s="289" t="n"/>
      <c r="L23" s="289" t="n"/>
      <c r="M23" s="289" t="n"/>
      <c r="N23" s="289" t="n"/>
      <c r="O23" s="289" t="n"/>
      <c r="P23" s="289" t="n"/>
      <c r="Q23" s="289" t="n"/>
      <c r="R23" s="289" t="n"/>
      <c r="S23" s="289" t="n"/>
      <c r="T23" s="289" t="n"/>
      <c r="U23" s="289" t="n"/>
      <c r="V23" s="289" t="n"/>
      <c r="W23" s="289" t="n"/>
      <c r="X23" s="289" t="n"/>
      <c r="Y23" s="289" t="n"/>
      <c r="Z23" s="289" t="n"/>
      <c r="AA23" s="289" t="n"/>
      <c r="AB23" s="289" t="n"/>
      <c r="AC23" s="289" t="n"/>
      <c r="AD23" s="289" t="n"/>
      <c r="AE23" s="289" t="n"/>
      <c r="AF23" s="289" t="n"/>
      <c r="AG23" s="289" t="n"/>
      <c r="AH23" s="289" t="n"/>
      <c r="AI23" s="289" t="n"/>
      <c r="AJ23" s="289" t="n"/>
      <c r="AK23" s="289" t="n"/>
      <c r="AL23" s="289" t="n"/>
      <c r="AM23" s="289" t="n"/>
      <c r="AN23" s="289" t="n"/>
      <c r="AO23" s="289" t="n"/>
      <c r="AP23" s="289" t="n"/>
      <c r="AQ23" s="289" t="n"/>
      <c r="AR23" s="289" t="n"/>
      <c r="AS23" s="289" t="n"/>
      <c r="AT23" s="289" t="n"/>
      <c r="AU23" s="289" t="n"/>
      <c r="AV23" s="289" t="n"/>
      <c r="AW23" s="289" t="n"/>
      <c r="AX23" s="289" t="n"/>
      <c r="AY23" s="289" t="n"/>
      <c r="AZ23" s="289" t="n"/>
      <c r="BA23" s="289" t="n"/>
      <c r="BB23" s="289" t="n"/>
      <c r="BC23" s="289" t="n"/>
      <c r="BD23" s="289" t="n"/>
      <c r="BE23" s="289" t="n"/>
      <c r="BF23" s="289" t="n"/>
      <c r="BG23" s="289" t="n"/>
      <c r="BH23" s="289" t="n"/>
      <c r="BI23" s="289" t="n"/>
      <c r="BJ23" s="289" t="n"/>
      <c r="BK23" s="289" t="n"/>
      <c r="BL23" s="289" t="n"/>
      <c r="BM23" s="289" t="n"/>
      <c r="BN23" s="289" t="n"/>
    </row>
    <row r="24" ht="18.75" customHeight="1">
      <c r="A24" s="289" t="n"/>
      <c r="B24" s="290" t="n"/>
      <c r="C24" s="291" t="n"/>
      <c r="D24" s="292" t="n"/>
      <c r="E24" s="293" t="n"/>
      <c r="F24" s="294">
        <f>IF(D24="","",IF(D24="N/A","N/A",IF(($C$5-D24+1)/G24&gt;1,1,IF(($C$5-D24+1)/G24&lt;0,0,IF(OR(D24=0,$C$5=0),"-",($C$5-D24+1)/G24)))))</f>
        <v/>
      </c>
      <c r="G24" s="295">
        <f>IF(D24="","",IF(D24="N/A","N/A",IF(OR(E24=0,D24=0)," - ",NETWORKDAYS(D24,E24))))</f>
        <v/>
      </c>
      <c r="H24" s="292" t="n"/>
      <c r="I24" s="296">
        <f>IF(D24="","",IF(AND(H24="-",$C$5&gt;E24),$C$5-E24,"-"))</f>
        <v/>
      </c>
      <c r="J24" s="297" t="n"/>
      <c r="K24" s="289" t="n"/>
      <c r="L24" s="289" t="n"/>
      <c r="M24" s="289" t="n"/>
      <c r="N24" s="289" t="n"/>
      <c r="O24" s="289" t="n"/>
      <c r="P24" s="289" t="n"/>
      <c r="Q24" s="289" t="n"/>
      <c r="R24" s="289" t="n"/>
      <c r="S24" s="289" t="n"/>
      <c r="T24" s="289" t="n"/>
      <c r="U24" s="289" t="n"/>
      <c r="V24" s="289" t="n"/>
      <c r="W24" s="289" t="n"/>
      <c r="X24" s="289" t="n"/>
      <c r="Y24" s="289" t="n"/>
      <c r="Z24" s="289" t="n"/>
      <c r="AA24" s="289" t="n"/>
      <c r="AB24" s="289" t="n"/>
      <c r="AC24" s="289" t="n"/>
      <c r="AD24" s="289" t="n"/>
      <c r="AE24" s="289" t="n"/>
      <c r="AF24" s="289" t="n"/>
      <c r="AG24" s="289" t="n"/>
      <c r="AH24" s="289" t="n"/>
      <c r="AI24" s="289" t="n"/>
      <c r="AJ24" s="289" t="n"/>
      <c r="AK24" s="289" t="n"/>
      <c r="AL24" s="289" t="n"/>
      <c r="AM24" s="289" t="n"/>
      <c r="AN24" s="289" t="n"/>
      <c r="AO24" s="289" t="n"/>
      <c r="AP24" s="289" t="n"/>
      <c r="AQ24" s="289" t="n"/>
      <c r="AR24" s="289" t="n"/>
      <c r="AS24" s="289" t="n"/>
      <c r="AT24" s="289" t="n"/>
      <c r="AU24" s="289" t="n"/>
      <c r="AV24" s="289" t="n"/>
      <c r="AW24" s="289" t="n"/>
      <c r="AX24" s="289" t="n"/>
      <c r="AY24" s="289" t="n"/>
      <c r="AZ24" s="289" t="n"/>
      <c r="BA24" s="289" t="n"/>
      <c r="BB24" s="289" t="n"/>
      <c r="BC24" s="289" t="n"/>
      <c r="BD24" s="289" t="n"/>
      <c r="BE24" s="289" t="n"/>
      <c r="BF24" s="289" t="n"/>
      <c r="BG24" s="289" t="n"/>
      <c r="BH24" s="289" t="n"/>
      <c r="BI24" s="289" t="n"/>
      <c r="BJ24" s="289" t="n"/>
      <c r="BK24" s="289" t="n"/>
      <c r="BL24" s="289" t="n"/>
      <c r="BM24" s="289" t="n"/>
      <c r="BN24" s="289" t="n"/>
    </row>
    <row r="25" ht="18.75" customHeight="1">
      <c r="A25" s="289" t="n"/>
      <c r="B25" s="290" t="n"/>
      <c r="C25" s="291" t="n"/>
      <c r="D25" s="292" t="n"/>
      <c r="E25" s="293" t="n"/>
      <c r="F25" s="294">
        <f>IF(D25="","",IF(D25="N/A","N/A",IF(($C$5-D25+1)/G25&gt;1,1,IF(($C$5-D25+1)/G25&lt;0,0,IF(OR(D25=0,$C$5=0),"-",($C$5-D25+1)/G25)))))</f>
        <v/>
      </c>
      <c r="G25" s="295">
        <f>IF(D25="","",IF(D25="N/A","N/A",IF(OR(E25=0,D25=0)," - ",NETWORKDAYS(D25,E25))))</f>
        <v/>
      </c>
      <c r="H25" s="292" t="n"/>
      <c r="I25" s="296">
        <f>IF(D25="","",IF(AND(H25="-",$C$5&gt;E25),$C$5-E25,"-"))</f>
        <v/>
      </c>
      <c r="J25" s="297" t="n"/>
      <c r="K25" s="289" t="n"/>
      <c r="L25" s="289" t="n"/>
      <c r="M25" s="289" t="n"/>
      <c r="N25" s="289" t="n"/>
      <c r="O25" s="289" t="n"/>
      <c r="P25" s="289" t="n"/>
      <c r="Q25" s="289" t="n"/>
      <c r="R25" s="289" t="n"/>
      <c r="S25" s="289" t="n"/>
      <c r="T25" s="289" t="n"/>
      <c r="U25" s="289" t="n"/>
      <c r="V25" s="289" t="n"/>
      <c r="W25" s="289" t="n"/>
      <c r="X25" s="289" t="n"/>
      <c r="Y25" s="289" t="n"/>
      <c r="Z25" s="289" t="n"/>
      <c r="AA25" s="289" t="n"/>
      <c r="AB25" s="289" t="n"/>
      <c r="AC25" s="289" t="n"/>
      <c r="AD25" s="289" t="n"/>
      <c r="AE25" s="289" t="n"/>
      <c r="AF25" s="289" t="n"/>
      <c r="AG25" s="289" t="n"/>
      <c r="AH25" s="289" t="n"/>
      <c r="AI25" s="289" t="n"/>
      <c r="AJ25" s="289" t="n"/>
      <c r="AK25" s="289" t="n"/>
      <c r="AL25" s="289" t="n"/>
      <c r="AM25" s="289" t="n"/>
      <c r="AN25" s="289" t="n"/>
      <c r="AO25" s="289" t="n"/>
      <c r="AP25" s="289" t="n"/>
      <c r="AQ25" s="289" t="n"/>
      <c r="AR25" s="289" t="n"/>
      <c r="AS25" s="289" t="n"/>
      <c r="AT25" s="289" t="n"/>
      <c r="AU25" s="289" t="n"/>
      <c r="AV25" s="289" t="n"/>
      <c r="AW25" s="289" t="n"/>
      <c r="AX25" s="289" t="n"/>
      <c r="AY25" s="289" t="n"/>
      <c r="AZ25" s="289" t="n"/>
      <c r="BA25" s="289" t="n"/>
      <c r="BB25" s="289" t="n"/>
      <c r="BC25" s="289" t="n"/>
      <c r="BD25" s="289" t="n"/>
      <c r="BE25" s="289" t="n"/>
      <c r="BF25" s="289" t="n"/>
      <c r="BG25" s="289" t="n"/>
      <c r="BH25" s="289" t="n"/>
      <c r="BI25" s="289" t="n"/>
      <c r="BJ25" s="289" t="n"/>
      <c r="BK25" s="289" t="n"/>
      <c r="BL25" s="289" t="n"/>
      <c r="BM25" s="289" t="n"/>
      <c r="BN25" s="289" t="n"/>
    </row>
    <row r="26" ht="18.75" customHeight="1">
      <c r="A26" s="289" t="n"/>
      <c r="B26" s="290" t="n"/>
      <c r="C26" s="291" t="n"/>
      <c r="D26" s="292" t="n"/>
      <c r="E26" s="293" t="n"/>
      <c r="F26" s="294">
        <f>IF(D26="","",IF(D26="N/A","N/A",IF(($C$5-D26+1)/G26&gt;1,1,IF(($C$5-D26+1)/G26&lt;0,0,IF(OR(D26=0,$C$5=0),"-",($C$5-D26+1)/G26)))))</f>
        <v/>
      </c>
      <c r="G26" s="295">
        <f>IF(D26="","",IF(D26="N/A","N/A",IF(OR(E26=0,D26=0)," - ",NETWORKDAYS(D26,E26))))</f>
        <v/>
      </c>
      <c r="H26" s="292" t="n"/>
      <c r="I26" s="296">
        <f>IF(D26="","",IF(AND(H26="-",$C$5&gt;E26),$C$5-E26,"-"))</f>
        <v/>
      </c>
      <c r="J26" s="297" t="n"/>
      <c r="K26" s="289" t="n"/>
      <c r="L26" s="289" t="n"/>
      <c r="M26" s="289" t="n"/>
      <c r="N26" s="289" t="n"/>
      <c r="O26" s="289" t="n"/>
      <c r="P26" s="289" t="n"/>
      <c r="Q26" s="289" t="n"/>
      <c r="R26" s="289" t="n"/>
      <c r="S26" s="289" t="n"/>
      <c r="T26" s="289" t="n"/>
      <c r="U26" s="289" t="n"/>
      <c r="V26" s="289" t="n"/>
      <c r="W26" s="289" t="n"/>
      <c r="X26" s="289" t="n"/>
      <c r="Y26" s="289" t="n"/>
      <c r="Z26" s="289" t="n"/>
      <c r="AA26" s="289" t="n"/>
      <c r="AB26" s="289" t="n"/>
      <c r="AC26" s="289" t="n"/>
      <c r="AD26" s="289" t="n"/>
      <c r="AE26" s="289" t="n"/>
      <c r="AF26" s="289" t="n"/>
      <c r="AG26" s="289" t="n"/>
      <c r="AH26" s="289" t="n"/>
      <c r="AI26" s="289" t="n"/>
      <c r="AJ26" s="289" t="n"/>
      <c r="AK26" s="289" t="n"/>
      <c r="AL26" s="289" t="n"/>
      <c r="AM26" s="289" t="n"/>
      <c r="AN26" s="289" t="n"/>
      <c r="AO26" s="289" t="n"/>
      <c r="AP26" s="289" t="n"/>
      <c r="AQ26" s="289" t="n"/>
      <c r="AR26" s="289" t="n"/>
      <c r="AS26" s="289" t="n"/>
      <c r="AT26" s="289" t="n"/>
      <c r="AU26" s="289" t="n"/>
      <c r="AV26" s="289" t="n"/>
      <c r="AW26" s="289" t="n"/>
      <c r="AX26" s="289" t="n"/>
      <c r="AY26" s="289" t="n"/>
      <c r="AZ26" s="289" t="n"/>
      <c r="BA26" s="289" t="n"/>
      <c r="BB26" s="289" t="n"/>
      <c r="BC26" s="289" t="n"/>
      <c r="BD26" s="289" t="n"/>
      <c r="BE26" s="289" t="n"/>
      <c r="BF26" s="289" t="n"/>
      <c r="BG26" s="289" t="n"/>
      <c r="BH26" s="289" t="n"/>
      <c r="BI26" s="289" t="n"/>
      <c r="BJ26" s="289" t="n"/>
      <c r="BK26" s="289" t="n"/>
      <c r="BL26" s="289" t="n"/>
      <c r="BM26" s="289" t="n"/>
      <c r="BN26" s="289" t="n"/>
    </row>
    <row r="27" ht="18.75" customHeight="1">
      <c r="A27" s="289" t="n"/>
      <c r="B27" s="290" t="n"/>
      <c r="C27" s="291" t="n"/>
      <c r="D27" s="292" t="n"/>
      <c r="E27" s="293" t="n"/>
      <c r="F27" s="294">
        <f>IF(D27="","",IF(D27="N/A","N/A",IF(($C$5-D27+1)/G27&gt;1,1,IF(($C$5-D27+1)/G27&lt;0,0,IF(OR(D27=0,$C$5=0),"-",($C$5-D27+1)/G27)))))</f>
        <v/>
      </c>
      <c r="G27" s="295">
        <f>IF(D27="","",IF(D27="N/A","N/A",IF(OR(E27=0,D27=0)," - ",NETWORKDAYS(D27,E27))))</f>
        <v/>
      </c>
      <c r="H27" s="292" t="n"/>
      <c r="I27" s="296">
        <f>IF(D27="","",IF(AND(H27="-",$C$5&gt;E27),$C$5-E27,"-"))</f>
        <v/>
      </c>
      <c r="J27" s="297" t="n"/>
      <c r="K27" s="289" t="n"/>
      <c r="L27" s="289" t="n"/>
      <c r="M27" s="289" t="n"/>
      <c r="N27" s="289" t="n"/>
      <c r="O27" s="289" t="n"/>
      <c r="P27" s="289" t="n"/>
      <c r="Q27" s="289" t="n"/>
      <c r="R27" s="289" t="n"/>
      <c r="S27" s="289" t="n"/>
      <c r="T27" s="289" t="n"/>
      <c r="U27" s="289" t="n"/>
      <c r="V27" s="289" t="n"/>
      <c r="W27" s="289" t="n"/>
      <c r="X27" s="289" t="n"/>
      <c r="Y27" s="289" t="n"/>
      <c r="Z27" s="289" t="n"/>
      <c r="AA27" s="289" t="n"/>
      <c r="AB27" s="289" t="n"/>
      <c r="AC27" s="289" t="n"/>
      <c r="AD27" s="289" t="n"/>
      <c r="AE27" s="289" t="n"/>
      <c r="AF27" s="289" t="n"/>
      <c r="AG27" s="289" t="n"/>
      <c r="AH27" s="289" t="n"/>
      <c r="AI27" s="289" t="n"/>
      <c r="AJ27" s="289" t="n"/>
      <c r="AK27" s="289" t="n"/>
      <c r="AL27" s="289" t="n"/>
      <c r="AM27" s="289" t="n"/>
      <c r="AN27" s="289" t="n"/>
      <c r="AO27" s="289" t="n"/>
      <c r="AP27" s="289" t="n"/>
      <c r="AQ27" s="289" t="n"/>
      <c r="AR27" s="289" t="n"/>
      <c r="AS27" s="289" t="n"/>
      <c r="AT27" s="289" t="n"/>
      <c r="AU27" s="289" t="n"/>
      <c r="AV27" s="289" t="n"/>
      <c r="AW27" s="289" t="n"/>
      <c r="AX27" s="289" t="n"/>
      <c r="AY27" s="289" t="n"/>
      <c r="AZ27" s="289" t="n"/>
      <c r="BA27" s="289" t="n"/>
      <c r="BB27" s="289" t="n"/>
      <c r="BC27" s="289" t="n"/>
      <c r="BD27" s="289" t="n"/>
      <c r="BE27" s="289" t="n"/>
      <c r="BF27" s="289" t="n"/>
      <c r="BG27" s="289" t="n"/>
      <c r="BH27" s="289" t="n"/>
      <c r="BI27" s="289" t="n"/>
      <c r="BJ27" s="289" t="n"/>
      <c r="BK27" s="289" t="n"/>
      <c r="BL27" s="289" t="n"/>
      <c r="BM27" s="289" t="n"/>
      <c r="BN27" s="289" t="n"/>
    </row>
    <row r="28" ht="18.75" customHeight="1">
      <c r="A28" s="289" t="n"/>
      <c r="B28" s="290" t="n"/>
      <c r="C28" s="291" t="n"/>
      <c r="D28" s="292" t="n"/>
      <c r="E28" s="293" t="n"/>
      <c r="F28" s="294">
        <f>IF(D28="","",IF(D28="N/A","N/A",IF(($C$5-D28+1)/G28&gt;1,1,IF(($C$5-D28+1)/G28&lt;0,0,IF(OR(D28=0,$C$5=0),"-",($C$5-D28+1)/G28)))))</f>
        <v/>
      </c>
      <c r="G28" s="295">
        <f>IF(D28="","",IF(D28="N/A","N/A",IF(OR(E28=0,D28=0)," - ",NETWORKDAYS(D28,E28))))</f>
        <v/>
      </c>
      <c r="H28" s="292" t="n"/>
      <c r="I28" s="296">
        <f>IF(D28="","",IF(AND(H28="-",$C$5&gt;E28),$C$5-E28,"-"))</f>
        <v/>
      </c>
      <c r="J28" s="297" t="n"/>
      <c r="K28" s="289" t="n"/>
      <c r="L28" s="289" t="n"/>
      <c r="M28" s="289" t="n"/>
      <c r="N28" s="289" t="n"/>
      <c r="O28" s="289" t="n"/>
      <c r="P28" s="289" t="n"/>
      <c r="Q28" s="289" t="n"/>
      <c r="R28" s="289" t="n"/>
      <c r="S28" s="289" t="n"/>
      <c r="T28" s="289" t="n"/>
      <c r="U28" s="289" t="n"/>
      <c r="V28" s="289" t="n"/>
      <c r="W28" s="289" t="n"/>
      <c r="X28" s="289" t="n"/>
      <c r="Y28" s="289" t="n"/>
      <c r="Z28" s="289" t="n"/>
      <c r="AA28" s="289" t="n"/>
      <c r="AB28" s="289" t="n"/>
      <c r="AC28" s="289" t="n"/>
      <c r="AD28" s="289" t="n"/>
      <c r="AE28" s="289" t="n"/>
      <c r="AF28" s="289" t="n"/>
      <c r="AG28" s="289" t="n"/>
      <c r="AH28" s="289" t="n"/>
      <c r="AI28" s="289" t="n"/>
      <c r="AJ28" s="289" t="n"/>
      <c r="AK28" s="289" t="n"/>
      <c r="AL28" s="289" t="n"/>
      <c r="AM28" s="289" t="n"/>
      <c r="AN28" s="289" t="n"/>
      <c r="AO28" s="289" t="n"/>
      <c r="AP28" s="289" t="n"/>
      <c r="AQ28" s="289" t="n"/>
      <c r="AR28" s="289" t="n"/>
      <c r="AS28" s="289" t="n"/>
      <c r="AT28" s="289" t="n"/>
      <c r="AU28" s="289" t="n"/>
      <c r="AV28" s="289" t="n"/>
      <c r="AW28" s="289" t="n"/>
      <c r="AX28" s="289" t="n"/>
      <c r="AY28" s="289" t="n"/>
      <c r="AZ28" s="289" t="n"/>
      <c r="BA28" s="289" t="n"/>
      <c r="BB28" s="289" t="n"/>
      <c r="BC28" s="289" t="n"/>
      <c r="BD28" s="289" t="n"/>
      <c r="BE28" s="289" t="n"/>
      <c r="BF28" s="289" t="n"/>
      <c r="BG28" s="289" t="n"/>
      <c r="BH28" s="289" t="n"/>
      <c r="BI28" s="289" t="n"/>
      <c r="BJ28" s="289" t="n"/>
      <c r="BK28" s="289" t="n"/>
      <c r="BL28" s="289" t="n"/>
      <c r="BM28" s="289" t="n"/>
      <c r="BN28" s="289" t="n"/>
    </row>
    <row r="29" ht="18.75" customHeight="1">
      <c r="A29" s="289" t="n"/>
      <c r="B29" s="290" t="n"/>
      <c r="C29" s="291" t="n"/>
      <c r="D29" s="292" t="n"/>
      <c r="E29" s="293" t="n"/>
      <c r="F29" s="294">
        <f>IF(D29="","",IF(D29="N/A","N/A",IF(($C$5-D29+1)/G29&gt;1,1,IF(($C$5-D29+1)/G29&lt;0,0,IF(OR(D29=0,$C$5=0),"-",($C$5-D29+1)/G29)))))</f>
        <v/>
      </c>
      <c r="G29" s="295">
        <f>IF(D29="","",IF(D29="N/A","N/A",IF(OR(E29=0,D29=0)," - ",NETWORKDAYS(D29,E29))))</f>
        <v/>
      </c>
      <c r="H29" s="292" t="n"/>
      <c r="I29" s="296">
        <f>IF(D29="","",IF(AND(H29="-",$C$5&gt;E29),$C$5-E29,"-"))</f>
        <v/>
      </c>
      <c r="J29" s="297" t="n"/>
      <c r="K29" s="289" t="n"/>
      <c r="L29" s="289" t="n"/>
      <c r="M29" s="289" t="n"/>
      <c r="N29" s="289" t="n"/>
      <c r="O29" s="289" t="n"/>
      <c r="P29" s="289" t="n"/>
      <c r="Q29" s="289" t="n"/>
      <c r="R29" s="289" t="n"/>
      <c r="S29" s="289" t="n"/>
      <c r="T29" s="289" t="n"/>
      <c r="U29" s="289" t="n"/>
      <c r="V29" s="289" t="n"/>
      <c r="W29" s="289" t="n"/>
      <c r="X29" s="289" t="n"/>
      <c r="Y29" s="289" t="n"/>
      <c r="Z29" s="289" t="n"/>
      <c r="AA29" s="289" t="n"/>
      <c r="AB29" s="289" t="n"/>
      <c r="AC29" s="289" t="n"/>
      <c r="AD29" s="289" t="n"/>
      <c r="AE29" s="289" t="n"/>
      <c r="AF29" s="289" t="n"/>
      <c r="AG29" s="289" t="n"/>
      <c r="AH29" s="289" t="n"/>
      <c r="AI29" s="289" t="n"/>
      <c r="AJ29" s="289" t="n"/>
      <c r="AK29" s="289" t="n"/>
      <c r="AL29" s="289" t="n"/>
      <c r="AM29" s="289" t="n"/>
      <c r="AN29" s="289" t="n"/>
      <c r="AO29" s="289" t="n"/>
      <c r="AP29" s="289" t="n"/>
      <c r="AQ29" s="289" t="n"/>
      <c r="AR29" s="289" t="n"/>
      <c r="AS29" s="289" t="n"/>
      <c r="AT29" s="289" t="n"/>
      <c r="AU29" s="289" t="n"/>
      <c r="AV29" s="289" t="n"/>
      <c r="AW29" s="289" t="n"/>
      <c r="AX29" s="289" t="n"/>
      <c r="AY29" s="289" t="n"/>
      <c r="AZ29" s="289" t="n"/>
      <c r="BA29" s="289" t="n"/>
      <c r="BB29" s="289" t="n"/>
      <c r="BC29" s="289" t="n"/>
      <c r="BD29" s="289" t="n"/>
      <c r="BE29" s="289" t="n"/>
      <c r="BF29" s="289" t="n"/>
      <c r="BG29" s="289" t="n"/>
      <c r="BH29" s="289" t="n"/>
      <c r="BI29" s="289" t="n"/>
      <c r="BJ29" s="289" t="n"/>
      <c r="BK29" s="289" t="n"/>
      <c r="BL29" s="289" t="n"/>
      <c r="BM29" s="289" t="n"/>
      <c r="BN29" s="289" t="n"/>
    </row>
    <row r="30" ht="18.75" customHeight="1">
      <c r="A30" s="289" t="n"/>
      <c r="B30" s="290" t="n"/>
      <c r="C30" s="291" t="n"/>
      <c r="D30" s="292" t="n"/>
      <c r="E30" s="293" t="n"/>
      <c r="F30" s="294">
        <f>IF(D30="","",IF(D30="N/A","N/A",IF(($C$5-D30+1)/G30&gt;1,1,IF(($C$5-D30+1)/G30&lt;0,0,IF(OR(D30=0,$C$5=0),"-",($C$5-D30+1)/G30)))))</f>
        <v/>
      </c>
      <c r="G30" s="295">
        <f>IF(D30="","",IF(D30="N/A","N/A",IF(OR(E30=0,D30=0)," - ",NETWORKDAYS(D30,E30))))</f>
        <v/>
      </c>
      <c r="H30" s="292" t="n"/>
      <c r="I30" s="296">
        <f>IF(D30="","",IF(AND(H30="-",$C$5&gt;E30),$C$5-E30,"-"))</f>
        <v/>
      </c>
      <c r="J30" s="297" t="n"/>
      <c r="K30" s="289" t="n"/>
      <c r="L30" s="289" t="n"/>
      <c r="M30" s="289" t="n"/>
      <c r="N30" s="289" t="n"/>
      <c r="O30" s="289" t="n"/>
      <c r="P30" s="289" t="n"/>
      <c r="Q30" s="289" t="n"/>
      <c r="R30" s="289" t="n"/>
      <c r="S30" s="289" t="n"/>
      <c r="T30" s="289" t="n"/>
      <c r="U30" s="289" t="n"/>
      <c r="V30" s="289" t="n"/>
      <c r="W30" s="289" t="n"/>
      <c r="X30" s="289" t="n"/>
      <c r="Y30" s="289" t="n"/>
      <c r="Z30" s="289" t="n"/>
      <c r="AA30" s="289" t="n"/>
      <c r="AB30" s="289" t="n"/>
      <c r="AC30" s="289" t="n"/>
      <c r="AD30" s="289" t="n"/>
      <c r="AE30" s="289" t="n"/>
      <c r="AF30" s="289" t="n"/>
      <c r="AG30" s="289" t="n"/>
      <c r="AH30" s="289" t="n"/>
      <c r="AI30" s="289" t="n"/>
      <c r="AJ30" s="289" t="n"/>
      <c r="AK30" s="289" t="n"/>
      <c r="AL30" s="289" t="n"/>
      <c r="AM30" s="289" t="n"/>
      <c r="AN30" s="289" t="n"/>
      <c r="AO30" s="289" t="n"/>
      <c r="AP30" s="289" t="n"/>
      <c r="AQ30" s="289" t="n"/>
      <c r="AR30" s="289" t="n"/>
      <c r="AS30" s="289" t="n"/>
      <c r="AT30" s="289" t="n"/>
      <c r="AU30" s="289" t="n"/>
      <c r="AV30" s="289" t="n"/>
      <c r="AW30" s="289" t="n"/>
      <c r="AX30" s="289" t="n"/>
      <c r="AY30" s="289" t="n"/>
      <c r="AZ30" s="289" t="n"/>
      <c r="BA30" s="289" t="n"/>
      <c r="BB30" s="289" t="n"/>
      <c r="BC30" s="289" t="n"/>
      <c r="BD30" s="289" t="n"/>
      <c r="BE30" s="289" t="n"/>
      <c r="BF30" s="289" t="n"/>
      <c r="BG30" s="289" t="n"/>
      <c r="BH30" s="289" t="n"/>
      <c r="BI30" s="289" t="n"/>
      <c r="BJ30" s="289" t="n"/>
      <c r="BK30" s="289" t="n"/>
      <c r="BL30" s="289" t="n"/>
      <c r="BM30" s="289" t="n"/>
      <c r="BN30" s="289" t="n"/>
    </row>
    <row r="31" ht="18.75" customHeight="1">
      <c r="A31" s="289" t="n"/>
      <c r="B31" s="290" t="n"/>
      <c r="C31" s="291" t="n"/>
      <c r="D31" s="292" t="n"/>
      <c r="E31" s="293" t="n"/>
      <c r="F31" s="294">
        <f>IF(D31="","",IF(D31="N/A","N/A",IF(($C$5-D31+1)/G31&gt;1,1,IF(($C$5-D31+1)/G31&lt;0,0,IF(OR(D31=0,$C$5=0),"-",($C$5-D31+1)/G31)))))</f>
        <v/>
      </c>
      <c r="G31" s="295">
        <f>IF(D31="","",IF(D31="N/A","N/A",IF(OR(E31=0,D31=0)," - ",NETWORKDAYS(D31,E31))))</f>
        <v/>
      </c>
      <c r="H31" s="292" t="n"/>
      <c r="I31" s="296">
        <f>IF(D31="","",IF(AND(H31="-",$C$5&gt;E31),$C$5-E31,"-"))</f>
        <v/>
      </c>
      <c r="J31" s="297" t="n"/>
      <c r="K31" s="289" t="n"/>
      <c r="L31" s="289" t="n"/>
      <c r="M31" s="289" t="n"/>
      <c r="N31" s="289" t="n"/>
      <c r="O31" s="289" t="n"/>
      <c r="P31" s="289" t="n"/>
      <c r="Q31" s="289" t="n"/>
      <c r="R31" s="289" t="n"/>
      <c r="S31" s="289" t="n"/>
      <c r="T31" s="289" t="n"/>
      <c r="U31" s="289" t="n"/>
      <c r="V31" s="289" t="n"/>
      <c r="W31" s="289" t="n"/>
      <c r="X31" s="289" t="n"/>
      <c r="Y31" s="289" t="n"/>
      <c r="Z31" s="289" t="n"/>
      <c r="AA31" s="289" t="n"/>
      <c r="AB31" s="289" t="n"/>
      <c r="AC31" s="289" t="n"/>
      <c r="AD31" s="289" t="n"/>
      <c r="AE31" s="289" t="n"/>
      <c r="AF31" s="289" t="n"/>
      <c r="AG31" s="289" t="n"/>
      <c r="AH31" s="289" t="n"/>
      <c r="AI31" s="289" t="n"/>
      <c r="AJ31" s="289" t="n"/>
      <c r="AK31" s="289" t="n"/>
      <c r="AL31" s="289" t="n"/>
      <c r="AM31" s="289" t="n"/>
      <c r="AN31" s="289" t="n"/>
      <c r="AO31" s="289" t="n"/>
      <c r="AP31" s="289" t="n"/>
      <c r="AQ31" s="289" t="n"/>
      <c r="AR31" s="289" t="n"/>
      <c r="AS31" s="289" t="n"/>
      <c r="AT31" s="289" t="n"/>
      <c r="AU31" s="289" t="n"/>
      <c r="AV31" s="289" t="n"/>
      <c r="AW31" s="289" t="n"/>
      <c r="AX31" s="289" t="n"/>
      <c r="AY31" s="289" t="n"/>
      <c r="AZ31" s="289" t="n"/>
      <c r="BA31" s="289" t="n"/>
      <c r="BB31" s="289" t="n"/>
      <c r="BC31" s="289" t="n"/>
      <c r="BD31" s="289" t="n"/>
      <c r="BE31" s="289" t="n"/>
      <c r="BF31" s="289" t="n"/>
      <c r="BG31" s="289" t="n"/>
      <c r="BH31" s="289" t="n"/>
      <c r="BI31" s="289" t="n"/>
      <c r="BJ31" s="289" t="n"/>
      <c r="BK31" s="289" t="n"/>
      <c r="BL31" s="289" t="n"/>
      <c r="BM31" s="289" t="n"/>
      <c r="BN31" s="289" t="n"/>
    </row>
    <row r="32" ht="18.75" customHeight="1">
      <c r="A32" s="289" t="n"/>
      <c r="B32" s="290" t="n"/>
      <c r="C32" s="291" t="n"/>
      <c r="D32" s="292" t="n"/>
      <c r="E32" s="293" t="n"/>
      <c r="F32" s="294">
        <f>IF(D32="","",IF(D32="N/A","N/A",IF(($C$5-D32+1)/G32&gt;1,1,IF(($C$5-D32+1)/G32&lt;0,0,IF(OR(D32=0,$C$5=0),"-",($C$5-D32+1)/G32)))))</f>
        <v/>
      </c>
      <c r="G32" s="295">
        <f>IF(D32="","",IF(D32="N/A","N/A",IF(OR(E32=0,D32=0)," - ",NETWORKDAYS(D32,E32))))</f>
        <v/>
      </c>
      <c r="H32" s="292" t="n"/>
      <c r="I32" s="296">
        <f>IF(D32="","",IF(AND(H32="-",$C$5&gt;E32),$C$5-E32,"-"))</f>
        <v/>
      </c>
      <c r="J32" s="297" t="n"/>
      <c r="K32" s="289" t="n"/>
      <c r="L32" s="289" t="n"/>
      <c r="M32" s="289" t="n"/>
      <c r="N32" s="289" t="n"/>
      <c r="O32" s="289" t="n"/>
      <c r="P32" s="289" t="n"/>
      <c r="Q32" s="289" t="n"/>
      <c r="R32" s="289" t="n"/>
      <c r="S32" s="289" t="n"/>
      <c r="T32" s="289" t="n"/>
      <c r="U32" s="289" t="n"/>
      <c r="V32" s="289" t="n"/>
      <c r="W32" s="289" t="n"/>
      <c r="X32" s="289" t="n"/>
      <c r="Y32" s="289" t="n"/>
      <c r="Z32" s="289" t="n"/>
      <c r="AA32" s="289" t="n"/>
      <c r="AB32" s="289" t="n"/>
      <c r="AC32" s="289" t="n"/>
      <c r="AD32" s="289" t="n"/>
      <c r="AE32" s="289" t="n"/>
      <c r="AF32" s="289" t="n"/>
      <c r="AG32" s="289" t="n"/>
      <c r="AH32" s="289" t="n"/>
      <c r="AI32" s="289" t="n"/>
      <c r="AJ32" s="289" t="n"/>
      <c r="AK32" s="289" t="n"/>
      <c r="AL32" s="289" t="n"/>
      <c r="AM32" s="289" t="n"/>
      <c r="AN32" s="289" t="n"/>
      <c r="AO32" s="289" t="n"/>
      <c r="AP32" s="289" t="n"/>
      <c r="AQ32" s="289" t="n"/>
      <c r="AR32" s="289" t="n"/>
      <c r="AS32" s="289" t="n"/>
      <c r="AT32" s="289" t="n"/>
      <c r="AU32" s="289" t="n"/>
      <c r="AV32" s="289" t="n"/>
      <c r="AW32" s="289" t="n"/>
      <c r="AX32" s="289" t="n"/>
      <c r="AY32" s="289" t="n"/>
      <c r="AZ32" s="289" t="n"/>
      <c r="BA32" s="289" t="n"/>
      <c r="BB32" s="289" t="n"/>
      <c r="BC32" s="289" t="n"/>
      <c r="BD32" s="289" t="n"/>
      <c r="BE32" s="289" t="n"/>
      <c r="BF32" s="289" t="n"/>
      <c r="BG32" s="289" t="n"/>
      <c r="BH32" s="289" t="n"/>
      <c r="BI32" s="289" t="n"/>
      <c r="BJ32" s="289" t="n"/>
      <c r="BK32" s="289" t="n"/>
      <c r="BL32" s="289" t="n"/>
      <c r="BM32" s="289" t="n"/>
      <c r="BN32" s="289" t="n"/>
    </row>
    <row r="33" ht="18.75" customHeight="1">
      <c r="A33" s="289" t="n"/>
      <c r="B33" s="290" t="n"/>
      <c r="C33" s="291" t="n"/>
      <c r="D33" s="292" t="n"/>
      <c r="E33" s="293" t="n"/>
      <c r="F33" s="294">
        <f>IF(D33="","",IF(D33="N/A","N/A",IF(($C$5-D33+1)/G33&gt;1,1,IF(($C$5-D33+1)/G33&lt;0,0,IF(OR(D33=0,$C$5=0),"-",($C$5-D33+1)/G33)))))</f>
        <v/>
      </c>
      <c r="G33" s="295">
        <f>IF(D33="","",IF(D33="N/A","N/A",IF(OR(E33=0,D33=0)," - ",NETWORKDAYS(D33,E33))))</f>
        <v/>
      </c>
      <c r="H33" s="292" t="n"/>
      <c r="I33" s="296">
        <f>IF(D33="","",IF(AND(H33="-",$C$5&gt;E33),$C$5-E33,"-"))</f>
        <v/>
      </c>
      <c r="J33" s="297" t="n"/>
      <c r="K33" s="289" t="n"/>
      <c r="L33" s="289" t="n"/>
      <c r="M33" s="289" t="n"/>
      <c r="N33" s="289" t="n"/>
      <c r="O33" s="289" t="n"/>
      <c r="P33" s="289" t="n"/>
      <c r="Q33" s="289" t="n"/>
      <c r="R33" s="289" t="n"/>
      <c r="S33" s="289" t="n"/>
      <c r="T33" s="289" t="n"/>
      <c r="U33" s="289" t="n"/>
      <c r="V33" s="289" t="n"/>
      <c r="W33" s="289" t="n"/>
      <c r="X33" s="289" t="n"/>
      <c r="Y33" s="289" t="n"/>
      <c r="Z33" s="289" t="n"/>
      <c r="AA33" s="289" t="n"/>
      <c r="AB33" s="289" t="n"/>
      <c r="AC33" s="289" t="n"/>
      <c r="AD33" s="289" t="n"/>
      <c r="AE33" s="289" t="n"/>
      <c r="AF33" s="289" t="n"/>
      <c r="AG33" s="289" t="n"/>
      <c r="AH33" s="289" t="n"/>
      <c r="AI33" s="289" t="n"/>
      <c r="AJ33" s="289" t="n"/>
      <c r="AK33" s="289" t="n"/>
      <c r="AL33" s="289" t="n"/>
      <c r="AM33" s="289" t="n"/>
      <c r="AN33" s="289" t="n"/>
      <c r="AO33" s="289" t="n"/>
      <c r="AP33" s="289" t="n"/>
      <c r="AQ33" s="289" t="n"/>
      <c r="AR33" s="289" t="n"/>
      <c r="AS33" s="289" t="n"/>
      <c r="AT33" s="289" t="n"/>
      <c r="AU33" s="289" t="n"/>
      <c r="AV33" s="289" t="n"/>
      <c r="AW33" s="289" t="n"/>
      <c r="AX33" s="289" t="n"/>
      <c r="AY33" s="289" t="n"/>
      <c r="AZ33" s="289" t="n"/>
      <c r="BA33" s="289" t="n"/>
      <c r="BB33" s="289" t="n"/>
      <c r="BC33" s="289" t="n"/>
      <c r="BD33" s="289" t="n"/>
      <c r="BE33" s="289" t="n"/>
      <c r="BF33" s="289" t="n"/>
      <c r="BG33" s="289" t="n"/>
      <c r="BH33" s="289" t="n"/>
      <c r="BI33" s="289" t="n"/>
      <c r="BJ33" s="289" t="n"/>
      <c r="BK33" s="289" t="n"/>
      <c r="BL33" s="289" t="n"/>
      <c r="BM33" s="289" t="n"/>
      <c r="BN33" s="289" t="n"/>
    </row>
    <row r="34" ht="18.75" customHeight="1">
      <c r="A34" s="289" t="n"/>
      <c r="B34" s="290" t="n"/>
      <c r="C34" s="291" t="n"/>
      <c r="D34" s="292" t="n"/>
      <c r="E34" s="293" t="n"/>
      <c r="F34" s="294">
        <f>IF(D34="","",IF(D34="N/A","N/A",IF(($C$5-D34+1)/G34&gt;1,1,IF(($C$5-D34+1)/G34&lt;0,0,IF(OR(D34=0,$C$5=0),"-",($C$5-D34+1)/G34)))))</f>
        <v/>
      </c>
      <c r="G34" s="295">
        <f>IF(D34="","",IF(D34="N/A","N/A",IF(OR(E34=0,D34=0)," - ",NETWORKDAYS(D34,E34))))</f>
        <v/>
      </c>
      <c r="H34" s="292" t="n"/>
      <c r="I34" s="296">
        <f>IF(D34="","",IF(AND(H34="-",$C$5&gt;E34),$C$5-E34,"-"))</f>
        <v/>
      </c>
      <c r="J34" s="297" t="n"/>
      <c r="K34" s="289" t="n"/>
      <c r="L34" s="289" t="n"/>
      <c r="M34" s="289" t="n"/>
      <c r="N34" s="289" t="n"/>
      <c r="O34" s="289" t="n"/>
      <c r="P34" s="289" t="n"/>
      <c r="Q34" s="289" t="n"/>
      <c r="R34" s="289" t="n"/>
      <c r="S34" s="289" t="n"/>
      <c r="T34" s="289" t="n"/>
      <c r="U34" s="289" t="n"/>
      <c r="V34" s="289" t="n"/>
      <c r="W34" s="289" t="n"/>
      <c r="X34" s="289" t="n"/>
      <c r="Y34" s="289" t="n"/>
      <c r="Z34" s="289" t="n"/>
      <c r="AA34" s="289" t="n"/>
      <c r="AB34" s="289" t="n"/>
      <c r="AC34" s="289" t="n"/>
      <c r="AD34" s="289" t="n"/>
      <c r="AE34" s="289" t="n"/>
      <c r="AF34" s="289" t="n"/>
      <c r="AG34" s="289" t="n"/>
      <c r="AH34" s="289" t="n"/>
      <c r="AI34" s="289" t="n"/>
      <c r="AJ34" s="289" t="n"/>
      <c r="AK34" s="289" t="n"/>
      <c r="AL34" s="289" t="n"/>
      <c r="AM34" s="289" t="n"/>
      <c r="AN34" s="289" t="n"/>
      <c r="AO34" s="289" t="n"/>
      <c r="AP34" s="289" t="n"/>
      <c r="AQ34" s="289" t="n"/>
      <c r="AR34" s="289" t="n"/>
      <c r="AS34" s="289" t="n"/>
      <c r="AT34" s="289" t="n"/>
      <c r="AU34" s="289" t="n"/>
      <c r="AV34" s="289" t="n"/>
      <c r="AW34" s="289" t="n"/>
      <c r="AX34" s="289" t="n"/>
      <c r="AY34" s="289" t="n"/>
      <c r="AZ34" s="289" t="n"/>
      <c r="BA34" s="289" t="n"/>
      <c r="BB34" s="289" t="n"/>
      <c r="BC34" s="289" t="n"/>
      <c r="BD34" s="289" t="n"/>
      <c r="BE34" s="289" t="n"/>
      <c r="BF34" s="289" t="n"/>
      <c r="BG34" s="289" t="n"/>
      <c r="BH34" s="289" t="n"/>
      <c r="BI34" s="289" t="n"/>
      <c r="BJ34" s="289" t="n"/>
      <c r="BK34" s="289" t="n"/>
      <c r="BL34" s="289" t="n"/>
      <c r="BM34" s="289" t="n"/>
      <c r="BN34" s="289" t="n"/>
    </row>
    <row r="35" ht="18.75" customHeight="1">
      <c r="A35" s="289" t="n"/>
      <c r="B35" s="290" t="n"/>
      <c r="C35" s="291" t="n"/>
      <c r="D35" s="292" t="n"/>
      <c r="E35" s="293" t="n"/>
      <c r="F35" s="294">
        <f>IF(D35="","",IF(D35="N/A","N/A",IF(($C$5-D35+1)/G35&gt;1,1,IF(($C$5-D35+1)/G35&lt;0,0,IF(OR(D35=0,$C$5=0),"-",($C$5-D35+1)/G35)))))</f>
        <v/>
      </c>
      <c r="G35" s="295">
        <f>IF(D35="","",IF(D35="N/A","N/A",IF(OR(E35=0,D35=0)," - ",NETWORKDAYS(D35,E35))))</f>
        <v/>
      </c>
      <c r="H35" s="292" t="n"/>
      <c r="I35" s="296">
        <f>IF(D35="","",IF(AND(H35="-",$C$5&gt;E35),$C$5-E35,"-"))</f>
        <v/>
      </c>
      <c r="J35" s="297" t="n"/>
      <c r="K35" s="289" t="n"/>
      <c r="L35" s="289" t="n"/>
      <c r="M35" s="289" t="n"/>
      <c r="N35" s="289" t="n"/>
      <c r="O35" s="289" t="n"/>
      <c r="P35" s="289" t="n"/>
      <c r="Q35" s="289" t="n"/>
      <c r="R35" s="289" t="n"/>
      <c r="S35" s="289" t="n"/>
      <c r="T35" s="289" t="n"/>
      <c r="U35" s="289" t="n"/>
      <c r="V35" s="289" t="n"/>
      <c r="W35" s="289" t="n"/>
      <c r="X35" s="289" t="n"/>
      <c r="Y35" s="289" t="n"/>
      <c r="Z35" s="289" t="n"/>
      <c r="AA35" s="289" t="n"/>
      <c r="AB35" s="289" t="n"/>
      <c r="AC35" s="289" t="n"/>
      <c r="AD35" s="289" t="n"/>
      <c r="AE35" s="289" t="n"/>
      <c r="AF35" s="289" t="n"/>
      <c r="AG35" s="289" t="n"/>
      <c r="AH35" s="289" t="n"/>
      <c r="AI35" s="289" t="n"/>
      <c r="AJ35" s="289" t="n"/>
      <c r="AK35" s="289" t="n"/>
      <c r="AL35" s="289" t="n"/>
      <c r="AM35" s="289" t="n"/>
      <c r="AN35" s="289" t="n"/>
      <c r="AO35" s="289" t="n"/>
      <c r="AP35" s="289" t="n"/>
      <c r="AQ35" s="289" t="n"/>
      <c r="AR35" s="289" t="n"/>
      <c r="AS35" s="289" t="n"/>
      <c r="AT35" s="289" t="n"/>
      <c r="AU35" s="289" t="n"/>
      <c r="AV35" s="289" t="n"/>
      <c r="AW35" s="289" t="n"/>
      <c r="AX35" s="289" t="n"/>
      <c r="AY35" s="289" t="n"/>
      <c r="AZ35" s="289" t="n"/>
      <c r="BA35" s="289" t="n"/>
      <c r="BB35" s="289" t="n"/>
      <c r="BC35" s="289" t="n"/>
      <c r="BD35" s="289" t="n"/>
      <c r="BE35" s="289" t="n"/>
      <c r="BF35" s="289" t="n"/>
      <c r="BG35" s="289" t="n"/>
      <c r="BH35" s="289" t="n"/>
      <c r="BI35" s="289" t="n"/>
      <c r="BJ35" s="289" t="n"/>
      <c r="BK35" s="289" t="n"/>
      <c r="BL35" s="289" t="n"/>
      <c r="BM35" s="289" t="n"/>
      <c r="BN35" s="289" t="n"/>
    </row>
    <row r="36" ht="18.75" customHeight="1">
      <c r="A36" s="289" t="n"/>
      <c r="B36" s="290" t="n"/>
      <c r="C36" s="291" t="n"/>
      <c r="D36" s="292" t="n"/>
      <c r="E36" s="293" t="n"/>
      <c r="F36" s="294">
        <f>IF(D36="","",IF(D36="N/A","N/A",IF(($C$5-D36+1)/G36&gt;1,1,IF(($C$5-D36+1)/G36&lt;0,0,IF(OR(D36=0,$C$5=0),"-",($C$5-D36+1)/G36)))))</f>
        <v/>
      </c>
      <c r="G36" s="295">
        <f>IF(D36="","",IF(D36="N/A","N/A",IF(OR(E36=0,D36=0)," - ",NETWORKDAYS(D36,E36))))</f>
        <v/>
      </c>
      <c r="H36" s="292" t="n"/>
      <c r="I36" s="296">
        <f>IF(D36="","",IF(AND(H36="-",$C$5&gt;E36),$C$5-E36,"-"))</f>
        <v/>
      </c>
      <c r="J36" s="297" t="n"/>
      <c r="K36" s="289" t="n"/>
      <c r="L36" s="289" t="n"/>
      <c r="M36" s="289" t="n"/>
      <c r="N36" s="289" t="n"/>
      <c r="O36" s="289" t="n"/>
      <c r="P36" s="289" t="n"/>
      <c r="Q36" s="289" t="n"/>
      <c r="R36" s="289" t="n"/>
      <c r="S36" s="289" t="n"/>
      <c r="T36" s="289" t="n"/>
      <c r="U36" s="289" t="n"/>
      <c r="V36" s="289" t="n"/>
      <c r="W36" s="289" t="n"/>
      <c r="X36" s="289" t="n"/>
      <c r="Y36" s="289" t="n"/>
      <c r="Z36" s="289" t="n"/>
      <c r="AA36" s="289" t="n"/>
      <c r="AB36" s="289" t="n"/>
      <c r="AC36" s="289" t="n"/>
      <c r="AD36" s="289" t="n"/>
      <c r="AE36" s="289" t="n"/>
      <c r="AF36" s="289" t="n"/>
      <c r="AG36" s="289" t="n"/>
      <c r="AH36" s="289" t="n"/>
      <c r="AI36" s="289" t="n"/>
      <c r="AJ36" s="289" t="n"/>
      <c r="AK36" s="289" t="n"/>
      <c r="AL36" s="289" t="n"/>
      <c r="AM36" s="289" t="n"/>
      <c r="AN36" s="289" t="n"/>
      <c r="AO36" s="289" t="n"/>
      <c r="AP36" s="289" t="n"/>
      <c r="AQ36" s="289" t="n"/>
      <c r="AR36" s="289" t="n"/>
      <c r="AS36" s="289" t="n"/>
      <c r="AT36" s="289" t="n"/>
      <c r="AU36" s="289" t="n"/>
      <c r="AV36" s="289" t="n"/>
      <c r="AW36" s="289" t="n"/>
      <c r="AX36" s="289" t="n"/>
      <c r="AY36" s="289" t="n"/>
      <c r="AZ36" s="289" t="n"/>
      <c r="BA36" s="289" t="n"/>
      <c r="BB36" s="289" t="n"/>
      <c r="BC36" s="289" t="n"/>
      <c r="BD36" s="289" t="n"/>
      <c r="BE36" s="289" t="n"/>
      <c r="BF36" s="289" t="n"/>
      <c r="BG36" s="289" t="n"/>
      <c r="BH36" s="289" t="n"/>
      <c r="BI36" s="289" t="n"/>
      <c r="BJ36" s="289" t="n"/>
      <c r="BK36" s="289" t="n"/>
      <c r="BL36" s="289" t="n"/>
      <c r="BM36" s="289" t="n"/>
      <c r="BN36" s="289" t="n"/>
    </row>
    <row r="37" ht="18.75" customHeight="1">
      <c r="A37" s="289" t="n"/>
      <c r="B37" s="290" t="n"/>
      <c r="C37" s="291" t="n"/>
      <c r="D37" s="292" t="n"/>
      <c r="E37" s="293" t="n"/>
      <c r="F37" s="294">
        <f>IF(D37="","",IF(D37="N/A","N/A",IF(($C$5-D37+1)/G37&gt;1,1,IF(($C$5-D37+1)/G37&lt;0,0,IF(OR(D37=0,$C$5=0),"-",($C$5-D37+1)/G37)))))</f>
        <v/>
      </c>
      <c r="G37" s="295">
        <f>IF(D37="","",IF(D37="N/A","N/A",IF(OR(E37=0,D37=0)," - ",NETWORKDAYS(D37,E37))))</f>
        <v/>
      </c>
      <c r="H37" s="292" t="n"/>
      <c r="I37" s="296">
        <f>IF(D37="","",IF(AND(H37="-",$C$5&gt;E37),$C$5-E37,"-"))</f>
        <v/>
      </c>
      <c r="J37" s="297" t="n"/>
      <c r="K37" s="289" t="n"/>
      <c r="L37" s="289" t="n"/>
      <c r="M37" s="289" t="n"/>
      <c r="N37" s="289" t="n"/>
      <c r="O37" s="289" t="n"/>
      <c r="P37" s="289" t="n"/>
      <c r="Q37" s="289" t="n"/>
      <c r="R37" s="289" t="n"/>
      <c r="S37" s="289" t="n"/>
      <c r="T37" s="289" t="n"/>
      <c r="U37" s="289" t="n"/>
      <c r="V37" s="289" t="n"/>
      <c r="W37" s="289" t="n"/>
      <c r="X37" s="289" t="n"/>
      <c r="Y37" s="289" t="n"/>
      <c r="Z37" s="289" t="n"/>
      <c r="AA37" s="289" t="n"/>
      <c r="AB37" s="289" t="n"/>
      <c r="AC37" s="289" t="n"/>
      <c r="AD37" s="289" t="n"/>
      <c r="AE37" s="289" t="n"/>
      <c r="AF37" s="289" t="n"/>
      <c r="AG37" s="289" t="n"/>
      <c r="AH37" s="289" t="n"/>
      <c r="AI37" s="289" t="n"/>
      <c r="AJ37" s="289" t="n"/>
      <c r="AK37" s="289" t="n"/>
      <c r="AL37" s="289" t="n"/>
      <c r="AM37" s="289" t="n"/>
      <c r="AN37" s="289" t="n"/>
      <c r="AO37" s="289" t="n"/>
      <c r="AP37" s="289" t="n"/>
      <c r="AQ37" s="289" t="n"/>
      <c r="AR37" s="289" t="n"/>
      <c r="AS37" s="289" t="n"/>
      <c r="AT37" s="289" t="n"/>
      <c r="AU37" s="289" t="n"/>
      <c r="AV37" s="289" t="n"/>
      <c r="AW37" s="289" t="n"/>
      <c r="AX37" s="289" t="n"/>
      <c r="AY37" s="289" t="n"/>
      <c r="AZ37" s="289" t="n"/>
      <c r="BA37" s="289" t="n"/>
      <c r="BB37" s="289" t="n"/>
      <c r="BC37" s="289" t="n"/>
      <c r="BD37" s="289" t="n"/>
      <c r="BE37" s="289" t="n"/>
      <c r="BF37" s="289" t="n"/>
      <c r="BG37" s="289" t="n"/>
      <c r="BH37" s="289" t="n"/>
      <c r="BI37" s="289" t="n"/>
      <c r="BJ37" s="289" t="n"/>
      <c r="BK37" s="289" t="n"/>
      <c r="BL37" s="289" t="n"/>
      <c r="BM37" s="289" t="n"/>
      <c r="BN37" s="289" t="n"/>
    </row>
  </sheetData>
  <mergeCells count="19">
    <mergeCell ref="BA5:BG5"/>
    <mergeCell ref="AF5:AL5"/>
    <mergeCell ref="AM4:AS4"/>
    <mergeCell ref="C5:D5"/>
    <mergeCell ref="K1:AE1"/>
    <mergeCell ref="BA4:BG4"/>
    <mergeCell ref="C4:D4"/>
    <mergeCell ref="K4:Q4"/>
    <mergeCell ref="R5:X5"/>
    <mergeCell ref="Y4:AE4"/>
    <mergeCell ref="BH4:BN4"/>
    <mergeCell ref="K5:Q5"/>
    <mergeCell ref="R4:X4"/>
    <mergeCell ref="AF4:AL4"/>
    <mergeCell ref="Y5:AE5"/>
    <mergeCell ref="AM5:AS5"/>
    <mergeCell ref="AT5:AZ5"/>
    <mergeCell ref="BH5:BN5"/>
    <mergeCell ref="AT4:AZ4"/>
  </mergeCells>
  <conditionalFormatting sqref="K6:BN37">
    <cfRule type="expression" priority="1" dxfId="0">
      <formula>K$6=TODAY()</formula>
    </cfRule>
  </conditionalFormatting>
  <conditionalFormatting sqref="K6:BN7">
    <cfRule type="expression" priority="2" dxfId="1">
      <formula>K$6=TODAY()</formula>
    </cfRule>
  </conditionalFormatting>
  <conditionalFormatting sqref="K9:BN37">
    <cfRule type="expression" priority="3" dxfId="2">
      <formula>AND(NOT(ISBLANK($E9)),$E9&lt;K$6,$C$5&gt;=K$6,$H9="-")</formula>
    </cfRule>
    <cfRule type="expression" priority="4" dxfId="3">
      <formula>AND($D9&lt;&gt;"",K$6&lt;&gt;"",OR(AND($H9&lt;&gt;"-",$D9&lt;=K$6,$H9&gt;=K$6),AND($D9&lt;=K$6,$E9&gt;=K$6,$F9=1,NOT($H9="-"))))</formula>
    </cfRule>
    <cfRule type="expression" priority="5" dxfId="4">
      <formula>AND($D9&lt;&gt;"",$H9="-",$D9&lt;=K$6,ROUNDDOWN(($E9-$D9+1)*$F9,0)+$D9-1&gt;=K$6)</formula>
    </cfRule>
    <cfRule type="expression" priority="6" dxfId="5">
      <formula>AND($H9="-",NOT(ISBLANK($D9)),$D9&lt;=K$6,$E9&gt;=K$6)</formula>
    </cfRule>
  </conditionalFormatting>
  <conditionalFormatting sqref="F8:F37">
    <cfRule type="dataBar" priority="7">
      <dataBar>
        <cfvo type="num" val="0"/>
        <cfvo type="num" val="1"/>
        <color rgb="FFFFC000"/>
      </dataBar>
    </cfRule>
  </conditionalFormatting>
  <dataValidations count="1">
    <dataValidation sqref="G4" showDropDown="0" showInputMessage="1" showErrorMessage="0" allowBlank="1" promptTitle="Display Week" prompt="Enter the week number to display first in the Gantt Chart. The weeks are numbered starting from the week containing the Project Start Date."/>
  </dataValidations>
  <pageMargins left="0.25" right="0.25" top="0.5" bottom="0.5" header="0.5" footer="0.25"/>
  <pageSetup orientation="landscape" scale="47" fitToHeight="0"/>
  <drawing r:id="rId1"/>
  <legacyDrawing r:id="rId2"/>
  <mc:AlternateContent xmlns:mc="http://schemas.openxmlformats.org/markup-compatibility/2006" xmlns:xdr="http://schemas.openxmlformats.org/drawingml/2006/spreadsheetDrawing" xmlns:x14="http://schemas.microsoft.com/office/spreadsheetml/2009/9/main">
    <mc:Choice Requires="x14">
      <controls>
        <mc:AlternateContent xmlns:mc="http://schemas.openxmlformats.org/markup-compatibility/2006">
          <mc:Choice Requires="x14">
            <control shapeId="1025" r:id="rId3" name="Scroll Bar 1">
              <controlPr defaultSize="0" print="0" autoPict="0">
                <anchor moveWithCells="1">
                  <xdr:from>
                    <xdr:col>9</xdr:col>
                    <xdr:colOff>95250</xdr:colOff>
                    <xdr:row>1</xdr:row>
                    <xdr:rowOff>123825</xdr:rowOff>
                  </xdr:from>
                  <xdr:to>
                    <xdr:col>27</xdr:col>
                    <xdr:colOff>104775</xdr:colOff>
                    <xdr:row>3</xdr:row>
                    <xdr:rowOff>19050</xdr:rowOff>
                  </xdr: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5"/>
  <sheetViews>
    <sheetView zoomScale="88" workbookViewId="0">
      <selection activeCell="A1" sqref="A1"/>
    </sheetView>
  </sheetViews>
  <sheetFormatPr baseColWidth="8" defaultRowHeight="15"/>
  <cols>
    <col width="3.85546875" customWidth="1" min="1" max="1"/>
    <col width="43" customWidth="1" min="2" max="2"/>
    <col width="8" customWidth="1" min="3" max="3"/>
    <col width="10.140625" customWidth="1" min="4" max="4"/>
    <col width="14.85546875" customWidth="1" min="5" max="5"/>
    <col width="16" customWidth="1" min="6" max="6"/>
    <col width="15.28515625" customWidth="1" min="7" max="7"/>
    <col width="20.42578125" customWidth="1" min="8" max="8"/>
    <col width="45.28515625" customWidth="1" min="9" max="9"/>
    <col width="47.5703125" customWidth="1" min="10" max="10"/>
    <col width="13.85546875" customWidth="1" min="11" max="11"/>
    <col width="12.140625" customWidth="1" min="12" max="12"/>
    <col width="5.85546875" customWidth="1" min="13" max="13"/>
    <col width="11.85546875" customWidth="1" min="14" max="14"/>
    <col width="5.7109375" customWidth="1" min="15" max="15"/>
    <col width="8.7109375" customWidth="1" min="16" max="16"/>
    <col width="15" customWidth="1" min="17" max="17"/>
  </cols>
  <sheetData>
    <row r="1" ht="48.75" customHeight="1">
      <c r="A1" s="298" t="inlineStr">
        <is>
          <t xml:space="preserve">Service engineers file  </t>
        </is>
      </c>
      <c r="B1" s="299" t="n"/>
      <c r="C1" s="299" t="n"/>
      <c r="D1" s="299" t="n"/>
      <c r="E1" s="299" t="n"/>
      <c r="F1" s="299" t="n"/>
      <c r="G1" s="299" t="n"/>
      <c r="H1" s="299" t="n"/>
      <c r="I1" s="299" t="n"/>
      <c r="J1" s="299" t="n"/>
      <c r="K1" s="299" t="n"/>
      <c r="L1" s="300" t="n"/>
      <c r="M1" s="161" t="inlineStr">
        <is>
          <t>Rev. #</t>
        </is>
      </c>
      <c r="N1" s="301" t="inlineStr">
        <is>
          <t>Name</t>
        </is>
      </c>
      <c r="O1" s="302" t="inlineStr">
        <is>
          <t>Date</t>
        </is>
      </c>
    </row>
    <row r="2">
      <c r="A2" s="303" t="inlineStr">
        <is>
          <t xml:space="preserve">1) </t>
        </is>
      </c>
      <c r="B2" s="304" t="inlineStr">
        <is>
          <t>&lt;VENDOR&gt; (&lt;SCOPE&gt;)</t>
        </is>
      </c>
      <c r="C2" s="304" t="n"/>
      <c r="D2" s="304" t="n"/>
      <c r="E2" s="305" t="n"/>
      <c r="F2" s="304" t="n"/>
      <c r="G2" s="304" t="n"/>
      <c r="H2" s="304" t="n"/>
      <c r="I2" s="304" t="n"/>
      <c r="J2" s="304" t="n"/>
      <c r="K2" s="304" t="n"/>
      <c r="L2" s="306" t="n"/>
      <c r="M2" s="12">
        <f>IFERROR(LOOKUP(2,1/('SOW initial'!$G$3:$G$12&lt;&gt;""),'SOW initial'!$G$3:$G$12),"")</f>
        <v/>
      </c>
      <c r="N2" s="13">
        <f>IFERROR(LOOKUP(2,1/('SOW initial'!$H$3:$H$12&lt;&gt;""),'SOW initial'!$H$3:$H$12),"")</f>
        <v/>
      </c>
      <c r="O2" s="14">
        <f>IFERROR(LOOKUP(2,1/('SOW initial'!$I$3:$I$12&lt;&gt;""),'SOW initial'!$I$3:$I$12),"")</f>
        <v/>
      </c>
    </row>
    <row r="3">
      <c r="A3" s="307" t="inlineStr">
        <is>
          <t>no.</t>
        </is>
      </c>
      <c r="B3" s="307" t="inlineStr">
        <is>
          <t>description</t>
        </is>
      </c>
      <c r="C3" s="307" t="inlineStr">
        <is>
          <t>qty</t>
        </is>
      </c>
      <c r="D3" s="307" t="inlineStr">
        <is>
          <t>unit</t>
        </is>
      </c>
      <c r="E3" s="308" t="inlineStr">
        <is>
          <t>price/unit</t>
        </is>
      </c>
      <c r="F3" s="307" t="inlineStr">
        <is>
          <t>total price</t>
        </is>
      </c>
      <c r="G3" s="307" t="inlineStr">
        <is>
          <t>AVB</t>
        </is>
      </c>
      <c r="H3" s="307" t="inlineStr">
        <is>
          <t>PO</t>
        </is>
      </c>
      <c r="I3" s="307" t="inlineStr">
        <is>
          <t>DOCUMENTS</t>
        </is>
      </c>
      <c r="J3" s="307" t="inlineStr">
        <is>
          <t>Remarks</t>
        </is>
      </c>
      <c r="K3" s="307" t="inlineStr">
        <is>
          <t>ETCommence</t>
        </is>
      </c>
      <c r="L3" s="307" t="inlineStr">
        <is>
          <t>ETComplete</t>
        </is>
      </c>
      <c r="M3" s="18" t="inlineStr">
        <is>
          <t>Last change</t>
        </is>
      </c>
      <c r="N3" s="19" t="n"/>
      <c r="O3" s="20">
        <f>LastChange</f>
        <v/>
      </c>
    </row>
    <row r="4">
      <c r="A4" s="309" t="n">
        <v>1</v>
      </c>
      <c r="B4" s="310" t="inlineStr">
        <is>
          <t>Air Travel</t>
        </is>
      </c>
      <c r="C4" s="311" t="n"/>
      <c r="D4" s="312" t="n"/>
      <c r="E4" s="313" t="n"/>
      <c r="F4" s="314" t="n"/>
      <c r="G4" s="315" t="n"/>
      <c r="H4" s="315" t="n"/>
      <c r="I4" s="316" t="n"/>
      <c r="J4" s="317" t="n"/>
      <c r="K4" s="318" t="n"/>
      <c r="L4" s="319" t="n"/>
    </row>
    <row r="5">
      <c r="A5" s="309" t="n">
        <v>2</v>
      </c>
      <c r="B5" s="310" t="inlineStr">
        <is>
          <t>Hotel</t>
        </is>
      </c>
      <c r="C5" s="320" t="n"/>
      <c r="D5" s="310" t="n"/>
      <c r="E5" s="310" t="n"/>
      <c r="F5" s="310" t="n"/>
      <c r="G5" s="315" t="n"/>
      <c r="H5" s="315" t="n"/>
      <c r="I5" s="321" t="n"/>
      <c r="J5" s="322" t="n"/>
      <c r="K5" s="323" t="n"/>
      <c r="L5" s="324" t="n"/>
    </row>
    <row r="6">
      <c r="A6" s="325" t="n">
        <v>3</v>
      </c>
      <c r="B6" s="310" t="inlineStr">
        <is>
          <t>Transport</t>
        </is>
      </c>
      <c r="C6" s="320" t="n"/>
      <c r="D6" s="312" t="n"/>
      <c r="E6" s="313" t="n"/>
      <c r="F6" s="326" t="n"/>
      <c r="G6" s="315" t="n"/>
      <c r="H6" s="315" t="n"/>
      <c r="I6" s="321" t="n"/>
      <c r="J6" s="1" t="n"/>
      <c r="K6" s="323" t="n"/>
      <c r="L6" s="324" t="n"/>
    </row>
    <row r="7">
      <c r="A7" s="309" t="n">
        <v>4</v>
      </c>
      <c r="B7" s="310" t="inlineStr">
        <is>
          <t>Working time</t>
        </is>
      </c>
      <c r="C7" s="327" t="n"/>
      <c r="D7" s="312" t="n"/>
      <c r="E7" s="313" t="n"/>
      <c r="F7" s="314" t="n"/>
      <c r="G7" s="315" t="n"/>
      <c r="H7" s="315" t="n"/>
      <c r="I7" s="321" t="n"/>
      <c r="J7" s="322" t="n"/>
      <c r="K7" s="323" t="n"/>
      <c r="L7" s="324" t="n"/>
    </row>
    <row r="8">
      <c r="A8" s="328" t="n"/>
      <c r="B8" s="329" t="n"/>
      <c r="C8" s="329" t="n"/>
      <c r="D8" s="329" t="n"/>
      <c r="E8" s="330" t="n"/>
      <c r="F8" s="331" t="n"/>
      <c r="G8" s="329" t="n"/>
      <c r="H8" s="329" t="n"/>
      <c r="I8" s="329" t="n"/>
      <c r="J8" s="329" t="n"/>
      <c r="K8" s="329" t="n"/>
      <c r="L8" s="332" t="n"/>
    </row>
    <row r="9">
      <c r="A9" s="333" t="n"/>
      <c r="B9" s="334" t="inlineStr">
        <is>
          <t>Total estimated cost</t>
        </is>
      </c>
      <c r="C9" s="1" t="n"/>
      <c r="D9" s="1" t="n"/>
      <c r="E9" s="335" t="n"/>
      <c r="F9" s="336">
        <f>SUM(F4:F8)</f>
        <v/>
      </c>
      <c r="G9" s="1" t="n"/>
      <c r="H9" s="1" t="n"/>
      <c r="I9" s="1" t="n"/>
      <c r="J9" s="1" t="n"/>
      <c r="K9" s="1" t="n"/>
      <c r="L9" s="337" t="n"/>
    </row>
    <row r="10">
      <c r="A10" s="338" t="n"/>
      <c r="B10" s="339" t="n"/>
      <c r="C10" s="339" t="n"/>
      <c r="D10" s="339" t="n"/>
      <c r="E10" s="340" t="n"/>
      <c r="F10" s="341" t="n"/>
      <c r="G10" s="339" t="n"/>
      <c r="H10" s="339" t="n"/>
      <c r="I10" s="339" t="n"/>
      <c r="J10" s="339" t="n"/>
      <c r="K10" s="339" t="n"/>
      <c r="L10" s="342" t="n"/>
    </row>
    <row r="11">
      <c r="A11" s="303" t="inlineStr">
        <is>
          <t xml:space="preserve">2) </t>
        </is>
      </c>
      <c r="B11" s="304" t="inlineStr">
        <is>
          <t>&lt;VENDOR&gt; (&lt;SCOPE&gt;)</t>
        </is>
      </c>
      <c r="C11" s="304" t="n"/>
      <c r="D11" s="304" t="n"/>
      <c r="E11" s="305" t="n"/>
      <c r="F11" s="304" t="n"/>
      <c r="G11" s="304" t="n"/>
      <c r="H11" s="304" t="n"/>
      <c r="I11" s="304" t="n"/>
      <c r="J11" s="304" t="n"/>
      <c r="K11" s="304" t="n"/>
      <c r="L11" s="306" t="n"/>
    </row>
    <row r="12">
      <c r="A12" s="307" t="inlineStr">
        <is>
          <t>no.</t>
        </is>
      </c>
      <c r="B12" s="307" t="inlineStr">
        <is>
          <t>description</t>
        </is>
      </c>
      <c r="C12" s="307" t="inlineStr">
        <is>
          <t>qty</t>
        </is>
      </c>
      <c r="D12" s="307" t="inlineStr">
        <is>
          <t>unit</t>
        </is>
      </c>
      <c r="E12" s="308" t="inlineStr">
        <is>
          <t>price/unit</t>
        </is>
      </c>
      <c r="F12" s="307" t="inlineStr">
        <is>
          <t>total price</t>
        </is>
      </c>
      <c r="G12" s="307" t="inlineStr">
        <is>
          <t>AVB</t>
        </is>
      </c>
      <c r="H12" s="307" t="inlineStr">
        <is>
          <t>PO</t>
        </is>
      </c>
      <c r="I12" s="307" t="inlineStr">
        <is>
          <t>DOCUMENTS</t>
        </is>
      </c>
      <c r="J12" s="307" t="inlineStr">
        <is>
          <t>Remarks</t>
        </is>
      </c>
      <c r="K12" s="307" t="inlineStr">
        <is>
          <t>ETCommence</t>
        </is>
      </c>
      <c r="L12" s="307" t="inlineStr">
        <is>
          <t>ETComplete</t>
        </is>
      </c>
    </row>
    <row r="13">
      <c r="A13" s="309" t="n">
        <v>1</v>
      </c>
      <c r="B13" s="310" t="inlineStr">
        <is>
          <t>Air Travel</t>
        </is>
      </c>
      <c r="C13" s="311" t="n"/>
      <c r="D13" s="312" t="n"/>
      <c r="E13" s="313" t="n"/>
      <c r="F13" s="314" t="n"/>
      <c r="G13" s="315" t="n"/>
      <c r="H13" s="315" t="n"/>
      <c r="I13" s="316" t="n"/>
      <c r="J13" s="317" t="n"/>
      <c r="K13" s="318" t="n"/>
      <c r="L13" s="319" t="n"/>
    </row>
    <row r="14">
      <c r="A14" s="309" t="n">
        <v>2</v>
      </c>
      <c r="B14" s="310" t="inlineStr">
        <is>
          <t>Hotel</t>
        </is>
      </c>
      <c r="C14" s="320" t="n"/>
      <c r="D14" s="310" t="n"/>
      <c r="E14" s="310" t="n"/>
      <c r="F14" s="310" t="n"/>
      <c r="G14" s="315" t="n"/>
      <c r="H14" s="315" t="n"/>
      <c r="I14" s="321" t="n"/>
      <c r="J14" s="322" t="n"/>
      <c r="K14" s="323" t="n"/>
      <c r="L14" s="324" t="n"/>
    </row>
    <row r="15">
      <c r="A15" s="325" t="n">
        <v>3</v>
      </c>
      <c r="B15" s="310" t="inlineStr">
        <is>
          <t>Transport</t>
        </is>
      </c>
      <c r="C15" s="320" t="n"/>
      <c r="D15" s="312" t="n"/>
      <c r="E15" s="313" t="n"/>
      <c r="F15" s="326" t="n"/>
      <c r="G15" s="315" t="n"/>
      <c r="H15" s="315" t="n"/>
      <c r="I15" s="321" t="n"/>
      <c r="J15" s="1" t="n"/>
      <c r="K15" s="323" t="n"/>
      <c r="L15" s="324" t="n"/>
    </row>
    <row r="16">
      <c r="A16" s="309" t="n">
        <v>4</v>
      </c>
      <c r="B16" s="310" t="inlineStr">
        <is>
          <t>Working time</t>
        </is>
      </c>
      <c r="C16" s="327" t="n"/>
      <c r="D16" s="312" t="n"/>
      <c r="E16" s="313" t="n"/>
      <c r="F16" s="314" t="n"/>
      <c r="G16" s="315" t="n"/>
      <c r="H16" s="315" t="n"/>
      <c r="I16" s="321" t="n"/>
      <c r="J16" s="322" t="n"/>
      <c r="K16" s="323" t="n"/>
      <c r="L16" s="324" t="n"/>
    </row>
    <row r="17">
      <c r="A17" s="328" t="n"/>
      <c r="B17" s="329" t="n"/>
      <c r="C17" s="329" t="n"/>
      <c r="D17" s="329" t="n"/>
      <c r="E17" s="330" t="n"/>
      <c r="F17" s="331" t="n"/>
      <c r="G17" s="329" t="n"/>
      <c r="H17" s="329" t="n"/>
      <c r="I17" s="329" t="n"/>
      <c r="J17" s="329" t="n"/>
      <c r="K17" s="329" t="n"/>
      <c r="L17" s="332" t="n"/>
    </row>
    <row r="18">
      <c r="A18" s="333" t="n"/>
      <c r="B18" s="334" t="inlineStr">
        <is>
          <t>Total estimated cost</t>
        </is>
      </c>
      <c r="C18" s="1" t="n"/>
      <c r="D18" s="1" t="n"/>
      <c r="E18" s="335" t="n"/>
      <c r="F18" s="336">
        <f>SUM(F13:F17)</f>
        <v/>
      </c>
      <c r="G18" s="1" t="n"/>
      <c r="H18" s="1" t="n"/>
      <c r="I18" s="1" t="n"/>
      <c r="J18" s="1" t="n"/>
      <c r="K18" s="1" t="n"/>
      <c r="L18" s="337" t="n"/>
    </row>
    <row r="19">
      <c r="A19" s="338" t="n"/>
      <c r="B19" s="339" t="n"/>
      <c r="C19" s="339" t="n"/>
      <c r="D19" s="339" t="n"/>
      <c r="E19" s="340" t="n"/>
      <c r="F19" s="341" t="n"/>
      <c r="G19" s="339" t="n"/>
      <c r="H19" s="339" t="n"/>
      <c r="I19" s="339" t="n"/>
      <c r="J19" s="339" t="n"/>
      <c r="K19" s="339" t="n"/>
      <c r="L19" s="342" t="n"/>
    </row>
    <row r="20">
      <c r="A20" s="303" t="inlineStr">
        <is>
          <t xml:space="preserve">3) </t>
        </is>
      </c>
      <c r="B20" s="304" t="inlineStr">
        <is>
          <t>&lt;VENDOR&gt; (&lt;SCOPE&gt;)</t>
        </is>
      </c>
      <c r="C20" s="304" t="n"/>
      <c r="D20" s="304" t="n"/>
      <c r="E20" s="305" t="n"/>
      <c r="F20" s="304" t="n"/>
      <c r="G20" s="304" t="n"/>
      <c r="H20" s="304" t="n"/>
      <c r="I20" s="304" t="n"/>
      <c r="J20" s="304" t="n"/>
      <c r="K20" s="304" t="n"/>
      <c r="L20" s="306" t="n"/>
    </row>
    <row r="21">
      <c r="A21" s="307" t="inlineStr">
        <is>
          <t>no.</t>
        </is>
      </c>
      <c r="B21" s="307" t="inlineStr">
        <is>
          <t>description</t>
        </is>
      </c>
      <c r="C21" s="307" t="inlineStr">
        <is>
          <t>qty</t>
        </is>
      </c>
      <c r="D21" s="307" t="inlineStr">
        <is>
          <t>unit</t>
        </is>
      </c>
      <c r="E21" s="308" t="inlineStr">
        <is>
          <t>price/unit</t>
        </is>
      </c>
      <c r="F21" s="307" t="inlineStr">
        <is>
          <t>total price</t>
        </is>
      </c>
      <c r="G21" s="307" t="inlineStr">
        <is>
          <t>AVB</t>
        </is>
      </c>
      <c r="H21" s="307" t="inlineStr">
        <is>
          <t>PO</t>
        </is>
      </c>
      <c r="I21" s="307" t="inlineStr">
        <is>
          <t>DOCUMENTS</t>
        </is>
      </c>
      <c r="J21" s="307" t="inlineStr">
        <is>
          <t>Remarks</t>
        </is>
      </c>
      <c r="K21" s="307" t="inlineStr">
        <is>
          <t>ETCommence</t>
        </is>
      </c>
      <c r="L21" s="307" t="inlineStr">
        <is>
          <t>ETComplete</t>
        </is>
      </c>
    </row>
    <row r="22">
      <c r="A22" s="309" t="n">
        <v>1</v>
      </c>
      <c r="B22" s="310" t="inlineStr">
        <is>
          <t>Air Travel</t>
        </is>
      </c>
      <c r="C22" s="311" t="n"/>
      <c r="D22" s="312" t="n"/>
      <c r="E22" s="313" t="n"/>
      <c r="F22" s="314" t="n"/>
      <c r="G22" s="315" t="n"/>
      <c r="H22" s="315" t="n"/>
      <c r="I22" s="316" t="n"/>
      <c r="J22" s="317" t="n"/>
      <c r="K22" s="318" t="n"/>
      <c r="L22" s="319" t="n"/>
    </row>
    <row r="23">
      <c r="A23" s="309" t="n">
        <v>2</v>
      </c>
      <c r="B23" s="310" t="inlineStr">
        <is>
          <t>Hotel</t>
        </is>
      </c>
      <c r="C23" s="320" t="n"/>
      <c r="D23" s="310" t="n"/>
      <c r="E23" s="310" t="n"/>
      <c r="F23" s="310" t="n"/>
      <c r="G23" s="315" t="n"/>
      <c r="H23" s="315" t="n"/>
      <c r="I23" s="321" t="n"/>
      <c r="J23" s="322" t="n"/>
      <c r="K23" s="323" t="n"/>
      <c r="L23" s="324" t="n"/>
    </row>
    <row r="24">
      <c r="A24" s="325" t="n">
        <v>3</v>
      </c>
      <c r="B24" s="310" t="inlineStr">
        <is>
          <t>Transport</t>
        </is>
      </c>
      <c r="C24" s="320" t="n"/>
      <c r="D24" s="312" t="n"/>
      <c r="E24" s="313" t="n"/>
      <c r="F24" s="326" t="n"/>
      <c r="G24" s="315" t="n"/>
      <c r="H24" s="315" t="n"/>
      <c r="I24" s="321" t="n"/>
      <c r="J24" s="1" t="n"/>
      <c r="K24" s="323" t="n"/>
      <c r="L24" s="324" t="n"/>
    </row>
    <row r="25">
      <c r="A25" s="309" t="n">
        <v>4</v>
      </c>
      <c r="B25" s="310" t="inlineStr">
        <is>
          <t>Working time</t>
        </is>
      </c>
      <c r="C25" s="327" t="n"/>
      <c r="D25" s="312" t="n"/>
      <c r="E25" s="313" t="n"/>
      <c r="F25" s="314" t="n"/>
      <c r="G25" s="315" t="n"/>
      <c r="H25" s="315" t="n"/>
      <c r="I25" s="321" t="n"/>
      <c r="J25" s="322" t="n"/>
      <c r="K25" s="323" t="n"/>
      <c r="L25" s="324" t="n"/>
    </row>
    <row r="26">
      <c r="A26" s="328" t="n"/>
      <c r="B26" s="329" t="n"/>
      <c r="C26" s="329" t="n"/>
      <c r="D26" s="329" t="n"/>
      <c r="E26" s="330" t="n"/>
      <c r="F26" s="331" t="n"/>
      <c r="G26" s="329" t="n"/>
      <c r="H26" s="329" t="n"/>
      <c r="I26" s="329" t="n"/>
      <c r="J26" s="329" t="n"/>
      <c r="K26" s="329" t="n"/>
      <c r="L26" s="332" t="n"/>
    </row>
    <row r="27">
      <c r="A27" s="333" t="n"/>
      <c r="B27" s="334" t="inlineStr">
        <is>
          <t>Total estimated cost</t>
        </is>
      </c>
      <c r="C27" s="1" t="n"/>
      <c r="D27" s="1" t="n"/>
      <c r="E27" s="335" t="n"/>
      <c r="F27" s="336">
        <f>SUM(F22:F26)</f>
        <v/>
      </c>
      <c r="G27" s="1" t="n"/>
      <c r="H27" s="1" t="n"/>
      <c r="I27" s="1" t="n"/>
      <c r="J27" s="1" t="n"/>
      <c r="K27" s="1" t="n"/>
      <c r="L27" s="337" t="n"/>
    </row>
    <row r="28">
      <c r="A28" s="338" t="n"/>
      <c r="B28" s="339" t="n"/>
      <c r="C28" s="339" t="n"/>
      <c r="D28" s="339" t="n"/>
      <c r="E28" s="340" t="n"/>
      <c r="F28" s="341" t="n"/>
      <c r="G28" s="339" t="n"/>
      <c r="H28" s="339" t="n"/>
      <c r="I28" s="339" t="n"/>
      <c r="J28" s="339" t="n"/>
      <c r="K28" s="339" t="n"/>
      <c r="L28" s="342" t="n"/>
    </row>
    <row r="29">
      <c r="A29" s="303" t="inlineStr">
        <is>
          <t xml:space="preserve">4) </t>
        </is>
      </c>
      <c r="B29" s="304" t="inlineStr">
        <is>
          <t>&lt;VENDOR&gt; (&lt;SCOPE&gt;)</t>
        </is>
      </c>
      <c r="C29" s="304" t="n"/>
      <c r="D29" s="304" t="n"/>
      <c r="E29" s="305" t="n"/>
      <c r="F29" s="304" t="n"/>
      <c r="G29" s="304" t="n"/>
      <c r="H29" s="304" t="n"/>
      <c r="I29" s="304" t="n"/>
      <c r="J29" s="304" t="n"/>
      <c r="K29" s="304" t="n"/>
      <c r="L29" s="306" t="n"/>
    </row>
    <row r="30">
      <c r="A30" s="307" t="inlineStr">
        <is>
          <t>no.</t>
        </is>
      </c>
      <c r="B30" s="307" t="inlineStr">
        <is>
          <t>description</t>
        </is>
      </c>
      <c r="C30" s="307" t="inlineStr">
        <is>
          <t>qty</t>
        </is>
      </c>
      <c r="D30" s="307" t="inlineStr">
        <is>
          <t>unit</t>
        </is>
      </c>
      <c r="E30" s="308" t="inlineStr">
        <is>
          <t>price/unit</t>
        </is>
      </c>
      <c r="F30" s="307" t="inlineStr">
        <is>
          <t>total price</t>
        </is>
      </c>
      <c r="G30" s="307" t="inlineStr">
        <is>
          <t>AVB</t>
        </is>
      </c>
      <c r="H30" s="307" t="inlineStr">
        <is>
          <t>PO</t>
        </is>
      </c>
      <c r="I30" s="307" t="inlineStr">
        <is>
          <t>DOCUMENTS</t>
        </is>
      </c>
      <c r="J30" s="307" t="inlineStr">
        <is>
          <t>Remarks</t>
        </is>
      </c>
      <c r="K30" s="307" t="inlineStr">
        <is>
          <t>ETCommence</t>
        </is>
      </c>
      <c r="L30" s="307" t="inlineStr">
        <is>
          <t>ETComplete</t>
        </is>
      </c>
    </row>
    <row r="31">
      <c r="A31" s="309" t="n">
        <v>1</v>
      </c>
      <c r="B31" s="310" t="inlineStr">
        <is>
          <t>Air Travel</t>
        </is>
      </c>
      <c r="C31" s="311" t="n"/>
      <c r="D31" s="312" t="n"/>
      <c r="E31" s="313" t="n"/>
      <c r="F31" s="314" t="n"/>
      <c r="G31" s="315" t="n"/>
      <c r="H31" s="315" t="n"/>
      <c r="I31" s="316" t="n"/>
      <c r="J31" s="317" t="n"/>
      <c r="K31" s="318" t="n"/>
      <c r="L31" s="319" t="n"/>
    </row>
    <row r="32">
      <c r="A32" s="309" t="n">
        <v>2</v>
      </c>
      <c r="B32" s="310" t="inlineStr">
        <is>
          <t>Hotel</t>
        </is>
      </c>
      <c r="C32" s="320" t="n"/>
      <c r="D32" s="310" t="n"/>
      <c r="E32" s="310" t="n"/>
      <c r="F32" s="310" t="n"/>
      <c r="G32" s="315" t="n"/>
      <c r="H32" s="315" t="n"/>
      <c r="I32" s="321" t="n"/>
      <c r="J32" s="322" t="n"/>
      <c r="K32" s="323" t="n"/>
      <c r="L32" s="324" t="n"/>
    </row>
    <row r="33">
      <c r="A33" s="325" t="n">
        <v>3</v>
      </c>
      <c r="B33" s="310" t="inlineStr">
        <is>
          <t>Transport</t>
        </is>
      </c>
      <c r="C33" s="320" t="n"/>
      <c r="D33" s="312" t="n"/>
      <c r="E33" s="313" t="n"/>
      <c r="F33" s="326" t="n"/>
      <c r="G33" s="315" t="n"/>
      <c r="H33" s="315" t="n"/>
      <c r="I33" s="321" t="n"/>
      <c r="J33" s="1" t="n"/>
      <c r="K33" s="323" t="n"/>
      <c r="L33" s="324" t="n"/>
    </row>
    <row r="34">
      <c r="A34" s="309" t="n">
        <v>4</v>
      </c>
      <c r="B34" s="310" t="inlineStr">
        <is>
          <t>Working time</t>
        </is>
      </c>
      <c r="C34" s="327" t="n"/>
      <c r="D34" s="312" t="n"/>
      <c r="E34" s="313" t="n"/>
      <c r="F34" s="314" t="n"/>
      <c r="G34" s="315" t="n"/>
      <c r="H34" s="315" t="n"/>
      <c r="I34" s="321" t="n"/>
      <c r="J34" s="322" t="n"/>
      <c r="K34" s="323" t="n"/>
      <c r="L34" s="324" t="n"/>
    </row>
    <row r="35">
      <c r="A35" s="328" t="n"/>
      <c r="B35" s="329" t="n"/>
      <c r="C35" s="329" t="n"/>
      <c r="D35" s="329" t="n"/>
      <c r="E35" s="330" t="n"/>
      <c r="F35" s="331" t="n"/>
      <c r="G35" s="329" t="n"/>
      <c r="H35" s="329" t="n"/>
      <c r="I35" s="329" t="n"/>
      <c r="J35" s="329" t="n"/>
      <c r="K35" s="329" t="n"/>
      <c r="L35" s="332" t="n"/>
    </row>
    <row r="36">
      <c r="A36" s="333" t="n"/>
      <c r="B36" s="334" t="inlineStr">
        <is>
          <t>Total estimated cost</t>
        </is>
      </c>
      <c r="C36" s="1" t="n"/>
      <c r="D36" s="1" t="n"/>
      <c r="E36" s="335" t="n"/>
      <c r="F36" s="336">
        <f>SUM(F31:F35)</f>
        <v/>
      </c>
      <c r="G36" s="1" t="n"/>
      <c r="H36" s="1" t="n"/>
      <c r="I36" s="1" t="n"/>
      <c r="J36" s="1" t="n"/>
      <c r="K36" s="1" t="n"/>
      <c r="L36" s="337" t="n"/>
    </row>
    <row r="37">
      <c r="A37" s="338" t="n"/>
      <c r="B37" s="339" t="n"/>
      <c r="C37" s="339" t="n"/>
      <c r="D37" s="339" t="n"/>
      <c r="E37" s="340" t="n"/>
      <c r="F37" s="341" t="n"/>
      <c r="G37" s="339" t="n"/>
      <c r="H37" s="339" t="n"/>
      <c r="I37" s="339" t="n"/>
      <c r="J37" s="339" t="n"/>
      <c r="K37" s="339" t="n"/>
      <c r="L37" s="342" t="n"/>
    </row>
    <row r="38">
      <c r="A38" s="303" t="inlineStr">
        <is>
          <t xml:space="preserve">5) </t>
        </is>
      </c>
      <c r="B38" s="304" t="inlineStr">
        <is>
          <t>&lt;VENDOR&gt; (&lt;SCOPE&gt;)</t>
        </is>
      </c>
      <c r="C38" s="304" t="n"/>
      <c r="D38" s="304" t="n"/>
      <c r="E38" s="305" t="n"/>
      <c r="F38" s="304" t="n"/>
      <c r="G38" s="304" t="n"/>
      <c r="H38" s="304" t="n"/>
      <c r="I38" s="304" t="n"/>
      <c r="J38" s="304" t="n"/>
      <c r="K38" s="304" t="n"/>
      <c r="L38" s="306" t="n"/>
    </row>
    <row r="39">
      <c r="A39" s="307" t="inlineStr">
        <is>
          <t>no.</t>
        </is>
      </c>
      <c r="B39" s="307" t="inlineStr">
        <is>
          <t>description</t>
        </is>
      </c>
      <c r="C39" s="307" t="inlineStr">
        <is>
          <t>qty</t>
        </is>
      </c>
      <c r="D39" s="307" t="inlineStr">
        <is>
          <t>unit</t>
        </is>
      </c>
      <c r="E39" s="308" t="inlineStr">
        <is>
          <t>price/unit</t>
        </is>
      </c>
      <c r="F39" s="307" t="inlineStr">
        <is>
          <t>total price</t>
        </is>
      </c>
      <c r="G39" s="307" t="inlineStr">
        <is>
          <t>AVB</t>
        </is>
      </c>
      <c r="H39" s="307" t="inlineStr">
        <is>
          <t>PO</t>
        </is>
      </c>
      <c r="I39" s="307" t="inlineStr">
        <is>
          <t>DOCUMENTS</t>
        </is>
      </c>
      <c r="J39" s="307" t="inlineStr">
        <is>
          <t>Remarks</t>
        </is>
      </c>
      <c r="K39" s="307" t="inlineStr">
        <is>
          <t>ETCommence</t>
        </is>
      </c>
      <c r="L39" s="307" t="inlineStr">
        <is>
          <t>ETComplete</t>
        </is>
      </c>
    </row>
    <row r="40">
      <c r="A40" s="309" t="n">
        <v>1</v>
      </c>
      <c r="B40" s="310" t="inlineStr">
        <is>
          <t>Air Travel</t>
        </is>
      </c>
      <c r="C40" s="311" t="n"/>
      <c r="D40" s="312" t="n"/>
      <c r="E40" s="313" t="n"/>
      <c r="F40" s="314" t="n"/>
      <c r="G40" s="315" t="n"/>
      <c r="H40" s="315" t="n"/>
      <c r="I40" s="316" t="n"/>
      <c r="J40" s="317" t="n"/>
      <c r="K40" s="318" t="n"/>
      <c r="L40" s="319" t="n"/>
    </row>
    <row r="41">
      <c r="A41" s="309" t="n">
        <v>2</v>
      </c>
      <c r="B41" s="310" t="inlineStr">
        <is>
          <t>Hotel</t>
        </is>
      </c>
      <c r="C41" s="320" t="n"/>
      <c r="D41" s="310" t="n"/>
      <c r="E41" s="310" t="n"/>
      <c r="F41" s="310" t="n"/>
      <c r="G41" s="315" t="n"/>
      <c r="H41" s="315" t="n"/>
      <c r="I41" s="321" t="n"/>
      <c r="J41" s="322" t="n"/>
      <c r="K41" s="323" t="n"/>
      <c r="L41" s="324" t="n"/>
    </row>
    <row r="42">
      <c r="A42" s="325" t="n">
        <v>3</v>
      </c>
      <c r="B42" s="310" t="inlineStr">
        <is>
          <t>Transport</t>
        </is>
      </c>
      <c r="C42" s="320" t="n"/>
      <c r="D42" s="312" t="n"/>
      <c r="E42" s="313" t="n"/>
      <c r="F42" s="326" t="n"/>
      <c r="G42" s="315" t="n"/>
      <c r="H42" s="315" t="n"/>
      <c r="I42" s="321" t="n"/>
      <c r="J42" s="1" t="n"/>
      <c r="K42" s="323" t="n"/>
      <c r="L42" s="324" t="n"/>
    </row>
    <row r="43">
      <c r="A43" s="309" t="n">
        <v>4</v>
      </c>
      <c r="B43" s="310" t="inlineStr">
        <is>
          <t>Working time</t>
        </is>
      </c>
      <c r="C43" s="327" t="n"/>
      <c r="D43" s="312" t="n"/>
      <c r="E43" s="313" t="n"/>
      <c r="F43" s="314" t="n"/>
      <c r="G43" s="315" t="n"/>
      <c r="H43" s="315" t="n"/>
      <c r="I43" s="321" t="n"/>
      <c r="J43" s="322" t="n"/>
      <c r="K43" s="323" t="n"/>
      <c r="L43" s="324" t="n"/>
    </row>
    <row r="44">
      <c r="A44" s="328" t="n"/>
      <c r="B44" s="329" t="n"/>
      <c r="C44" s="329" t="n"/>
      <c r="D44" s="329" t="n"/>
      <c r="E44" s="330" t="n"/>
      <c r="F44" s="331" t="n"/>
      <c r="G44" s="329" t="n"/>
      <c r="H44" s="329" t="n"/>
      <c r="I44" s="329" t="n"/>
      <c r="J44" s="329" t="n"/>
      <c r="K44" s="329" t="n"/>
      <c r="L44" s="332" t="n"/>
    </row>
    <row r="45">
      <c r="A45" s="333" t="n"/>
      <c r="B45" s="334" t="inlineStr">
        <is>
          <t>Total estimated cost</t>
        </is>
      </c>
      <c r="C45" s="1" t="n"/>
      <c r="D45" s="1" t="n"/>
      <c r="E45" s="335" t="n"/>
      <c r="F45" s="336">
        <f>SUM(F40:F44)</f>
        <v/>
      </c>
      <c r="G45" s="1" t="n"/>
      <c r="H45" s="1" t="n"/>
      <c r="I45" s="1" t="n"/>
      <c r="J45" s="1" t="n"/>
      <c r="K45" s="1" t="n"/>
      <c r="L45" s="337" t="n"/>
    </row>
    <row r="46">
      <c r="A46" s="338" t="n"/>
      <c r="B46" s="339" t="n"/>
      <c r="C46" s="339" t="n"/>
      <c r="D46" s="339" t="n"/>
      <c r="E46" s="340" t="n"/>
      <c r="F46" s="341" t="n"/>
      <c r="G46" s="339" t="n"/>
      <c r="H46" s="339" t="n"/>
      <c r="I46" s="339" t="n"/>
      <c r="J46" s="339" t="n"/>
      <c r="K46" s="339" t="n"/>
      <c r="L46" s="342" t="n"/>
    </row>
    <row r="47">
      <c r="A47" s="303" t="inlineStr">
        <is>
          <t xml:space="preserve">6) </t>
        </is>
      </c>
      <c r="B47" s="304" t="inlineStr">
        <is>
          <t>&lt;VENDOR&gt; (&lt;SCOPE&gt;)</t>
        </is>
      </c>
      <c r="C47" s="304" t="n"/>
      <c r="D47" s="304" t="n"/>
      <c r="E47" s="305" t="n"/>
      <c r="F47" s="304" t="n"/>
      <c r="G47" s="304" t="n"/>
      <c r="H47" s="304" t="n"/>
      <c r="I47" s="304" t="n"/>
      <c r="J47" s="304" t="n"/>
      <c r="K47" s="304" t="n"/>
      <c r="L47" s="306" t="n"/>
    </row>
    <row r="48">
      <c r="A48" s="307" t="inlineStr">
        <is>
          <t>no.</t>
        </is>
      </c>
      <c r="B48" s="307" t="inlineStr">
        <is>
          <t>description</t>
        </is>
      </c>
      <c r="C48" s="307" t="inlineStr">
        <is>
          <t>qty</t>
        </is>
      </c>
      <c r="D48" s="307" t="inlineStr">
        <is>
          <t>unit</t>
        </is>
      </c>
      <c r="E48" s="308" t="inlineStr">
        <is>
          <t>price/unit</t>
        </is>
      </c>
      <c r="F48" s="307" t="inlineStr">
        <is>
          <t>total price</t>
        </is>
      </c>
      <c r="G48" s="307" t="inlineStr">
        <is>
          <t>AVB</t>
        </is>
      </c>
      <c r="H48" s="307" t="inlineStr">
        <is>
          <t>PO</t>
        </is>
      </c>
      <c r="I48" s="307" t="inlineStr">
        <is>
          <t>DOCUMENTS</t>
        </is>
      </c>
      <c r="J48" s="307" t="inlineStr">
        <is>
          <t>Remarks</t>
        </is>
      </c>
      <c r="K48" s="307" t="inlineStr">
        <is>
          <t>ETCommence</t>
        </is>
      </c>
      <c r="L48" s="307" t="inlineStr">
        <is>
          <t>ETComplete</t>
        </is>
      </c>
    </row>
    <row r="49">
      <c r="A49" s="309" t="n">
        <v>1</v>
      </c>
      <c r="B49" s="310" t="inlineStr">
        <is>
          <t>Air Travel</t>
        </is>
      </c>
      <c r="C49" s="311" t="n"/>
      <c r="D49" s="312" t="n"/>
      <c r="E49" s="313" t="n"/>
      <c r="F49" s="314" t="n"/>
      <c r="G49" s="315" t="n"/>
      <c r="H49" s="315" t="n"/>
      <c r="I49" s="316" t="n"/>
      <c r="J49" s="317" t="n"/>
      <c r="K49" s="318" t="n"/>
      <c r="L49" s="319" t="n"/>
    </row>
    <row r="50">
      <c r="A50" s="309" t="n">
        <v>2</v>
      </c>
      <c r="B50" s="310" t="inlineStr">
        <is>
          <t>Hotel</t>
        </is>
      </c>
      <c r="C50" s="320" t="n"/>
      <c r="D50" s="310" t="n"/>
      <c r="E50" s="310" t="n"/>
      <c r="F50" s="310" t="n"/>
      <c r="G50" s="315" t="n"/>
      <c r="H50" s="315" t="n"/>
      <c r="I50" s="321" t="n"/>
      <c r="J50" s="322" t="n"/>
      <c r="K50" s="323" t="n"/>
      <c r="L50" s="324" t="n"/>
    </row>
    <row r="51">
      <c r="A51" s="325" t="n">
        <v>3</v>
      </c>
      <c r="B51" s="310" t="inlineStr">
        <is>
          <t>Transport</t>
        </is>
      </c>
      <c r="C51" s="320" t="n"/>
      <c r="D51" s="312" t="n"/>
      <c r="E51" s="313" t="n"/>
      <c r="F51" s="326" t="n"/>
      <c r="G51" s="315" t="n"/>
      <c r="H51" s="315" t="n"/>
      <c r="I51" s="321" t="n"/>
      <c r="J51" s="1" t="n"/>
      <c r="K51" s="323" t="n"/>
      <c r="L51" s="324" t="n"/>
    </row>
    <row r="52">
      <c r="A52" s="309" t="n">
        <v>4</v>
      </c>
      <c r="B52" s="310" t="inlineStr">
        <is>
          <t>Working time</t>
        </is>
      </c>
      <c r="C52" s="327" t="n"/>
      <c r="D52" s="312" t="n"/>
      <c r="E52" s="313" t="n"/>
      <c r="F52" s="314" t="n"/>
      <c r="G52" s="315" t="n"/>
      <c r="H52" s="315" t="n"/>
      <c r="I52" s="321" t="n"/>
      <c r="J52" s="322" t="n"/>
      <c r="K52" s="323" t="n"/>
      <c r="L52" s="324" t="n"/>
    </row>
    <row r="53">
      <c r="A53" s="328" t="n"/>
      <c r="B53" s="329" t="n"/>
      <c r="C53" s="329" t="n"/>
      <c r="D53" s="329" t="n"/>
      <c r="E53" s="330" t="n"/>
      <c r="F53" s="331" t="n"/>
      <c r="G53" s="329" t="n"/>
      <c r="H53" s="329" t="n"/>
      <c r="I53" s="329" t="n"/>
      <c r="J53" s="329" t="n"/>
      <c r="K53" s="329" t="n"/>
      <c r="L53" s="332" t="n"/>
    </row>
    <row r="54">
      <c r="A54" s="333" t="n"/>
      <c r="B54" s="334" t="inlineStr">
        <is>
          <t>Total estimated cost</t>
        </is>
      </c>
      <c r="C54" s="1" t="n"/>
      <c r="D54" s="1" t="n"/>
      <c r="E54" s="335" t="n"/>
      <c r="F54" s="336">
        <f>SUM(F49:F53)</f>
        <v/>
      </c>
      <c r="G54" s="1" t="n"/>
      <c r="H54" s="1" t="n"/>
      <c r="I54" s="1" t="n"/>
      <c r="J54" s="1" t="n"/>
      <c r="K54" s="1" t="n"/>
      <c r="L54" s="337" t="n"/>
    </row>
    <row r="55">
      <c r="A55" s="338" t="n"/>
      <c r="B55" s="339" t="n"/>
      <c r="C55" s="339" t="n"/>
      <c r="D55" s="339" t="n"/>
      <c r="E55" s="340" t="n"/>
      <c r="F55" s="341" t="n"/>
      <c r="G55" s="339" t="n"/>
      <c r="H55" s="339" t="n"/>
      <c r="I55" s="339" t="n"/>
      <c r="J55" s="339" t="n"/>
      <c r="K55" s="339" t="n"/>
      <c r="L55" s="342" t="n"/>
    </row>
  </sheetData>
  <mergeCells count="14">
    <mergeCell ref="L49:L52"/>
    <mergeCell ref="K49:K52"/>
    <mergeCell ref="L4:L7"/>
    <mergeCell ref="K13:K16"/>
    <mergeCell ref="K4:K7"/>
    <mergeCell ref="K22:K25"/>
    <mergeCell ref="L13:L16"/>
    <mergeCell ref="K31:K34"/>
    <mergeCell ref="A1:L1"/>
    <mergeCell ref="L31:L34"/>
    <mergeCell ref="M3:N3"/>
    <mergeCell ref="K40:K43"/>
    <mergeCell ref="L40:L43"/>
    <mergeCell ref="L22:L25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L105"/>
  <sheetViews>
    <sheetView showGridLines="1" zoomScale="85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" customWidth="1" min="1" max="1"/>
    <col width="13.7109375" customWidth="1" min="2" max="2"/>
    <col width="78.140625" customWidth="1" min="3" max="3"/>
    <col width="10.5703125" customWidth="1" min="4" max="4"/>
    <col width="12.7109375" customWidth="1" min="5" max="5"/>
    <col width="10" customWidth="1" min="6" max="6"/>
    <col width="11.28515625" customWidth="1" min="7" max="7"/>
    <col width="20.85546875" customWidth="1" min="8" max="8"/>
    <col width="14.7109375" customWidth="1" min="9" max="9"/>
    <col width="20.140625" customWidth="1" min="10" max="10"/>
    <col width="72.85546875" customWidth="1" min="11" max="11"/>
    <col width="49.5703125" customWidth="1" min="12" max="12"/>
  </cols>
  <sheetData>
    <row r="1" ht="10.5" customHeight="1"/>
    <row r="2" ht="15" customHeight="1">
      <c r="B2" s="343" t="inlineStr">
        <is>
          <t>AL-IDRISI - Drydock 2027 &lt;Place&gt;
Actual scope of works</t>
        </is>
      </c>
      <c r="C2" s="344" t="n"/>
      <c r="D2" s="344" t="n"/>
      <c r="E2" s="344" t="n"/>
      <c r="F2" s="344" t="n"/>
      <c r="G2" s="345" t="inlineStr">
        <is>
          <t>Rev. #</t>
        </is>
      </c>
      <c r="H2" s="346" t="inlineStr">
        <is>
          <t>Name</t>
        </is>
      </c>
      <c r="I2" s="347" t="inlineStr">
        <is>
          <t>Date</t>
        </is>
      </c>
      <c r="K2" s="348" t="inlineStr">
        <is>
          <t>not yet started</t>
        </is>
      </c>
      <c r="L2" s="349" t="n"/>
    </row>
    <row r="3" ht="14.25" customHeight="1">
      <c r="B3" s="350" t="n"/>
      <c r="C3" s="351" t="n"/>
      <c r="D3" s="351" t="n"/>
      <c r="E3" s="351" t="n"/>
      <c r="F3" s="351" t="n"/>
      <c r="G3" s="12">
        <f>IF('SOW initial'!G3="","",'SOW initial'!G3)</f>
        <v/>
      </c>
      <c r="H3" s="13">
        <f>IF('SOW initial'!H3="","",'SOW initial'!H3)</f>
        <v/>
      </c>
      <c r="I3" s="14">
        <f>IF('SOW initial'!I3="","",'SOW initial'!I3)</f>
        <v/>
      </c>
      <c r="K3" s="352" t="inlineStr">
        <is>
          <t>Ongoing</t>
        </is>
      </c>
      <c r="L3" s="349" t="n"/>
    </row>
    <row r="4" ht="14.25" customHeight="1">
      <c r="B4" s="350" t="n"/>
      <c r="C4" s="351" t="n"/>
      <c r="D4" s="351" t="n"/>
      <c r="E4" s="351" t="n"/>
      <c r="F4" s="351" t="n"/>
      <c r="G4" s="12">
        <f>IF('SOW initial'!G4="","",'SOW initial'!G4)</f>
        <v/>
      </c>
      <c r="H4" s="13">
        <f>IF('SOW initial'!H4="","",'SOW initial'!H4)</f>
        <v/>
      </c>
      <c r="I4" s="14">
        <f>IF('SOW initial'!I4="","",'SOW initial'!I4)</f>
        <v/>
      </c>
      <c r="K4" s="353" t="inlineStr">
        <is>
          <t>Done</t>
        </is>
      </c>
      <c r="L4" s="349" t="n"/>
    </row>
    <row r="5" ht="14.25" customHeight="1">
      <c r="B5" s="350" t="n"/>
      <c r="C5" s="351" t="n"/>
      <c r="D5" s="351" t="n"/>
      <c r="E5" s="351" t="n"/>
      <c r="F5" s="351" t="n"/>
      <c r="G5" s="12">
        <f>IF('SOW initial'!G5="","",'SOW initial'!G5)</f>
        <v/>
      </c>
      <c r="H5" s="13">
        <f>IF('SOW initial'!H5="","",'SOW initial'!H5)</f>
        <v/>
      </c>
      <c r="I5" s="14">
        <f>IF('SOW initial'!I5="","",'SOW initial'!I5)</f>
        <v/>
      </c>
      <c r="K5" s="354" t="inlineStr">
        <is>
          <t>TBC</t>
        </is>
      </c>
      <c r="L5" s="349" t="n"/>
    </row>
    <row r="6" ht="14.25" customHeight="1">
      <c r="B6" s="350" t="n"/>
      <c r="C6" s="351" t="n"/>
      <c r="D6" s="351" t="n"/>
      <c r="E6" s="351" t="n"/>
      <c r="F6" s="351" t="n"/>
      <c r="G6" s="12">
        <f>IF('SOW initial'!G6="","",'SOW initial'!G6)</f>
        <v/>
      </c>
      <c r="H6" s="13">
        <f>IF('SOW initial'!H6="","",'SOW initial'!H6)</f>
        <v/>
      </c>
      <c r="I6" s="14">
        <f>IF('SOW initial'!I6="","",'SOW initial'!I6)</f>
        <v/>
      </c>
      <c r="K6" s="355" t="inlineStr">
        <is>
          <t>Cancelled</t>
        </is>
      </c>
      <c r="L6" s="349" t="n"/>
    </row>
    <row r="7" ht="14.25" customHeight="1">
      <c r="B7" s="350" t="n"/>
      <c r="C7" s="351" t="n"/>
      <c r="D7" s="351" t="n"/>
      <c r="E7" s="351" t="n"/>
      <c r="F7" s="351" t="n"/>
      <c r="G7" s="12">
        <f>IF('SOW initial'!G7="","",'SOW initial'!G7)</f>
        <v/>
      </c>
      <c r="H7" s="13">
        <f>IF('SOW initial'!H7="","",'SOW initial'!H7)</f>
        <v/>
      </c>
      <c r="I7" s="14">
        <f>IF('SOW initial'!I7="","",'SOW initial'!I7)</f>
        <v/>
      </c>
      <c r="L7" s="349" t="n"/>
    </row>
    <row r="8" ht="14.25" customHeight="1">
      <c r="B8" s="350" t="n"/>
      <c r="C8" s="351" t="n"/>
      <c r="D8" s="351" t="n"/>
      <c r="E8" s="351" t="n"/>
      <c r="F8" s="351" t="n"/>
      <c r="G8" s="12">
        <f>IF('SOW initial'!G8="","",'SOW initial'!G8)</f>
        <v/>
      </c>
      <c r="H8" s="13">
        <f>IF('SOW initial'!H8="","",'SOW initial'!H8)</f>
        <v/>
      </c>
      <c r="I8" s="14">
        <f>IF('SOW initial'!I8="","",'SOW initial'!I8)</f>
        <v/>
      </c>
      <c r="L8" s="349" t="n"/>
    </row>
    <row r="9" ht="14.25" customHeight="1">
      <c r="B9" s="350" t="n"/>
      <c r="C9" s="351" t="n"/>
      <c r="D9" s="351" t="n"/>
      <c r="E9" s="351" t="n"/>
      <c r="F9" s="351" t="n"/>
      <c r="G9" s="12">
        <f>IF('SOW initial'!G9="","",'SOW initial'!G9)</f>
        <v/>
      </c>
      <c r="H9" s="13">
        <f>IF('SOW initial'!H9="","",'SOW initial'!H9)</f>
        <v/>
      </c>
      <c r="I9" s="14">
        <f>IF('SOW initial'!I9="","",'SOW initial'!I9)</f>
        <v/>
      </c>
      <c r="L9" s="349" t="n"/>
    </row>
    <row r="10" ht="14.25" customHeight="1">
      <c r="B10" s="350" t="n"/>
      <c r="C10" s="351" t="n"/>
      <c r="D10" s="351" t="n"/>
      <c r="E10" s="351" t="n"/>
      <c r="F10" s="351" t="n"/>
      <c r="G10" s="12">
        <f>IF('SOW initial'!G10="","",'SOW initial'!G10)</f>
        <v/>
      </c>
      <c r="H10" s="13">
        <f>IF('SOW initial'!H10="","",'SOW initial'!H10)</f>
        <v/>
      </c>
      <c r="I10" s="14">
        <f>IF('SOW initial'!I10="","",'SOW initial'!I10)</f>
        <v/>
      </c>
      <c r="L10" s="349" t="n"/>
    </row>
    <row r="11" ht="14.25" customHeight="1">
      <c r="B11" s="350" t="n"/>
      <c r="C11" s="351" t="n"/>
      <c r="D11" s="351" t="n"/>
      <c r="E11" s="351" t="n"/>
      <c r="F11" s="351" t="n"/>
      <c r="G11" s="12">
        <f>IF('SOW initial'!G11="","",'SOW initial'!G11)</f>
        <v/>
      </c>
      <c r="H11" s="13">
        <f>IF('SOW initial'!H11="","",'SOW initial'!H11)</f>
        <v/>
      </c>
      <c r="I11" s="14">
        <f>IF('SOW initial'!I11="","",'SOW initial'!I11)</f>
        <v/>
      </c>
      <c r="L11" s="349" t="n"/>
    </row>
    <row r="12" ht="14.25" customHeight="1">
      <c r="B12" s="350" t="n"/>
      <c r="C12" s="351" t="n"/>
      <c r="D12" s="351" t="n"/>
      <c r="E12" s="351" t="n"/>
      <c r="F12" s="351" t="n"/>
      <c r="G12" s="12">
        <f>IF('SOW initial'!G12="","",'SOW initial'!G12)</f>
        <v/>
      </c>
      <c r="H12" s="13">
        <f>IF('SOW initial'!H12="","",'SOW initial'!H12)</f>
        <v/>
      </c>
      <c r="I12" s="14">
        <f>IF('SOW initial'!I12="","",'SOW initial'!I12)</f>
        <v/>
      </c>
      <c r="L12" s="349" t="n"/>
    </row>
    <row r="13" ht="15" customHeight="1">
      <c r="B13" s="356" t="n"/>
      <c r="C13" s="357" t="n"/>
      <c r="D13" s="357" t="n"/>
      <c r="E13" s="357" t="n"/>
      <c r="F13" s="357" t="n"/>
      <c r="G13" s="358" t="inlineStr">
        <is>
          <t>Last change</t>
        </is>
      </c>
      <c r="H13" s="359" t="n"/>
      <c r="I13" s="360">
        <f>LastChange</f>
        <v/>
      </c>
      <c r="L13" s="349" t="n"/>
    </row>
    <row r="14" ht="15" customHeight="1"/>
    <row r="15" ht="38.25" customHeight="1">
      <c r="B15" s="361" t="inlineStr">
        <is>
          <t>Specs</t>
        </is>
      </c>
      <c r="C15" s="362" t="inlineStr">
        <is>
          <t>Description</t>
        </is>
      </c>
      <c r="D15" s="363" t="inlineStr">
        <is>
          <t>qty.</t>
        </is>
      </c>
      <c r="E15" s="364" t="inlineStr">
        <is>
          <t>unit</t>
        </is>
      </c>
      <c r="F15" s="361" t="inlineStr">
        <is>
          <t>Afloat/ Dock</t>
        </is>
      </c>
      <c r="G15" s="361" t="inlineStr">
        <is>
          <t>WL item</t>
        </is>
      </c>
      <c r="H15" s="364" t="inlineStr">
        <is>
          <t>RFQ</t>
        </is>
      </c>
      <c r="I15" s="361" t="inlineStr">
        <is>
          <t>PO</t>
        </is>
      </c>
      <c r="J15" s="365" t="inlineStr">
        <is>
          <t>Transport File</t>
        </is>
      </c>
      <c r="K15" s="361" t="inlineStr">
        <is>
          <t>Comments</t>
        </is>
      </c>
      <c r="L15" s="365" t="inlineStr">
        <is>
          <t>Remarks</t>
        </is>
      </c>
    </row>
    <row r="16">
      <c r="B16" s="366" t="inlineStr">
        <is>
          <t>A. PILOTAGE, MOORING AND UNMOORING</t>
        </is>
      </c>
      <c r="C16" s="367" t="n"/>
      <c r="D16" s="368" t="n"/>
      <c r="E16" s="369" t="n"/>
      <c r="F16" s="369" t="n"/>
      <c r="G16" s="370" t="n"/>
      <c r="H16" s="369" t="n"/>
      <c r="I16" s="369" t="n"/>
      <c r="J16" s="371" t="n"/>
      <c r="K16" s="371" t="n"/>
      <c r="L16" s="372" t="n"/>
    </row>
    <row r="17">
      <c r="B17" s="373" t="n"/>
      <c r="C17" s="374" t="n"/>
      <c r="D17" s="375" t="n"/>
      <c r="E17" s="376" t="n"/>
      <c r="F17" s="377" t="n"/>
      <c r="G17" s="376" t="n"/>
      <c r="H17" s="376" t="n"/>
      <c r="I17" s="375" t="n"/>
      <c r="J17" s="378" t="n"/>
      <c r="K17" s="379" t="n"/>
      <c r="L17" s="379" t="n"/>
    </row>
    <row r="18">
      <c r="B18" s="373" t="n"/>
      <c r="C18" s="374" t="n"/>
      <c r="D18" s="375" t="n"/>
      <c r="E18" s="376" t="n"/>
      <c r="F18" s="377" t="n"/>
      <c r="G18" s="376" t="n"/>
      <c r="H18" s="376" t="n"/>
      <c r="I18" s="375" t="n"/>
      <c r="J18" s="378" t="n"/>
      <c r="K18" s="379" t="n"/>
      <c r="L18" s="379" t="n"/>
    </row>
    <row r="19">
      <c r="B19" s="373" t="n"/>
      <c r="C19" s="374" t="n"/>
      <c r="D19" s="375" t="n"/>
      <c r="E19" s="376" t="n"/>
      <c r="F19" s="377" t="n"/>
      <c r="G19" s="376" t="n"/>
      <c r="H19" s="376" t="n"/>
      <c r="I19" s="375" t="n"/>
      <c r="J19" s="378" t="n"/>
      <c r="K19" s="379" t="n"/>
      <c r="L19" s="379" t="n"/>
    </row>
    <row r="20">
      <c r="B20" s="373" t="n"/>
      <c r="C20" s="374" t="n"/>
      <c r="D20" s="375" t="n"/>
      <c r="E20" s="376" t="n"/>
      <c r="F20" s="377" t="n"/>
      <c r="G20" s="376" t="n"/>
      <c r="H20" s="376" t="n"/>
      <c r="I20" s="375" t="n"/>
      <c r="J20" s="378" t="n"/>
      <c r="K20" s="379" t="n"/>
      <c r="L20" s="379" t="n"/>
    </row>
    <row r="21">
      <c r="B21" s="373" t="n"/>
      <c r="C21" s="374" t="n"/>
      <c r="D21" s="375" t="n"/>
      <c r="E21" s="376" t="n"/>
      <c r="F21" s="377" t="n"/>
      <c r="G21" s="376" t="n"/>
      <c r="H21" s="376" t="n"/>
      <c r="I21" s="375" t="n"/>
      <c r="J21" s="378" t="n"/>
      <c r="K21" s="379" t="n"/>
      <c r="L21" s="379" t="n"/>
    </row>
    <row r="22">
      <c r="B22" s="366" t="inlineStr">
        <is>
          <t>B. DRYDOCKING</t>
        </is>
      </c>
      <c r="C22" s="367" t="n"/>
      <c r="D22" s="368" t="n"/>
      <c r="E22" s="369" t="n"/>
      <c r="F22" s="369" t="n"/>
      <c r="G22" s="370" t="n"/>
      <c r="H22" s="369" t="n"/>
      <c r="I22" s="369" t="n"/>
      <c r="J22" s="371" t="n"/>
      <c r="K22" s="371" t="n"/>
      <c r="L22" s="372" t="n"/>
    </row>
    <row r="23">
      <c r="B23" s="373" t="n"/>
      <c r="C23" s="374" t="n"/>
      <c r="D23" s="375" t="n"/>
      <c r="E23" s="376" t="n"/>
      <c r="F23" s="377" t="n"/>
      <c r="G23" s="376" t="n"/>
      <c r="H23" s="376" t="n"/>
      <c r="I23" s="375" t="n"/>
      <c r="J23" s="378" t="n"/>
      <c r="K23" s="379" t="n"/>
      <c r="L23" s="379" t="n"/>
    </row>
    <row r="24">
      <c r="B24" s="373" t="n"/>
      <c r="C24" s="374" t="n"/>
      <c r="D24" s="375" t="n"/>
      <c r="E24" s="376" t="n"/>
      <c r="F24" s="377" t="n"/>
      <c r="G24" s="376" t="n"/>
      <c r="H24" s="376" t="n"/>
      <c r="I24" s="375" t="n"/>
      <c r="J24" s="378" t="n"/>
      <c r="K24" s="379" t="n"/>
      <c r="L24" s="379" t="n"/>
    </row>
    <row r="25">
      <c r="B25" s="373" t="n"/>
      <c r="C25" s="374" t="n"/>
      <c r="D25" s="375" t="n"/>
      <c r="E25" s="376" t="n"/>
      <c r="F25" s="377" t="n"/>
      <c r="G25" s="376" t="n"/>
      <c r="H25" s="376" t="n"/>
      <c r="I25" s="375" t="n"/>
      <c r="J25" s="378" t="n"/>
      <c r="K25" s="379" t="n"/>
      <c r="L25" s="379" t="n"/>
    </row>
    <row r="26">
      <c r="B26" s="373" t="n"/>
      <c r="C26" s="374" t="n"/>
      <c r="D26" s="375" t="n"/>
      <c r="E26" s="376" t="n"/>
      <c r="F26" s="377" t="n"/>
      <c r="G26" s="376" t="n"/>
      <c r="H26" s="376" t="n"/>
      <c r="I26" s="375" t="n"/>
      <c r="J26" s="378" t="n"/>
      <c r="K26" s="379" t="n"/>
      <c r="L26" s="379" t="n"/>
    </row>
    <row r="27">
      <c r="B27" s="373" t="n"/>
      <c r="C27" s="374" t="n"/>
      <c r="D27" s="375" t="n"/>
      <c r="E27" s="376" t="n"/>
      <c r="F27" s="377" t="n"/>
      <c r="G27" s="376" t="n"/>
      <c r="H27" s="376" t="n"/>
      <c r="I27" s="375" t="n"/>
      <c r="J27" s="378" t="n"/>
      <c r="K27" s="379" t="n"/>
      <c r="L27" s="379" t="n"/>
    </row>
    <row r="28">
      <c r="B28" s="366" t="inlineStr">
        <is>
          <t>C. SERVICES</t>
        </is>
      </c>
      <c r="C28" s="367" t="n"/>
      <c r="D28" s="368" t="n"/>
      <c r="E28" s="369" t="n"/>
      <c r="F28" s="369" t="n"/>
      <c r="G28" s="370" t="n"/>
      <c r="H28" s="369" t="n"/>
      <c r="I28" s="369" t="n"/>
      <c r="J28" s="371" t="n"/>
      <c r="K28" s="371" t="n"/>
      <c r="L28" s="372" t="n"/>
    </row>
    <row r="29">
      <c r="B29" s="373" t="n"/>
      <c r="C29" s="374" t="n"/>
      <c r="D29" s="375" t="n"/>
      <c r="E29" s="376" t="n"/>
      <c r="F29" s="377" t="n"/>
      <c r="G29" s="376" t="n"/>
      <c r="H29" s="376" t="n"/>
      <c r="I29" s="375" t="n"/>
      <c r="J29" s="378" t="n"/>
      <c r="K29" s="379" t="n"/>
      <c r="L29" s="379" t="n"/>
    </row>
    <row r="30">
      <c r="B30" s="373" t="n"/>
      <c r="C30" s="374" t="n"/>
      <c r="D30" s="375" t="n"/>
      <c r="E30" s="376" t="n"/>
      <c r="F30" s="377" t="n"/>
      <c r="G30" s="376" t="n"/>
      <c r="H30" s="376" t="n"/>
      <c r="I30" s="375" t="n"/>
      <c r="J30" s="378" t="n"/>
      <c r="K30" s="379" t="n"/>
      <c r="L30" s="379" t="n"/>
    </row>
    <row r="31">
      <c r="B31" s="373" t="n"/>
      <c r="C31" s="374" t="n"/>
      <c r="D31" s="375" t="n"/>
      <c r="E31" s="376" t="n"/>
      <c r="F31" s="377" t="n"/>
      <c r="G31" s="376" t="n"/>
      <c r="H31" s="376" t="n"/>
      <c r="I31" s="375" t="n"/>
      <c r="J31" s="378" t="n"/>
      <c r="K31" s="379" t="n"/>
      <c r="L31" s="379" t="n"/>
    </row>
    <row r="32">
      <c r="B32" s="373" t="n"/>
      <c r="C32" s="374" t="n"/>
      <c r="D32" s="375" t="n"/>
      <c r="E32" s="376" t="n"/>
      <c r="F32" s="377" t="n"/>
      <c r="G32" s="376" t="n"/>
      <c r="H32" s="376" t="n"/>
      <c r="I32" s="375" t="n"/>
      <c r="J32" s="378" t="n"/>
      <c r="K32" s="379" t="n"/>
      <c r="L32" s="379" t="n"/>
    </row>
    <row r="33">
      <c r="B33" s="373" t="n"/>
      <c r="C33" s="374" t="n"/>
      <c r="D33" s="375" t="n"/>
      <c r="E33" s="376" t="n"/>
      <c r="F33" s="377" t="n"/>
      <c r="G33" s="376" t="n"/>
      <c r="H33" s="376" t="n"/>
      <c r="I33" s="375" t="n"/>
      <c r="J33" s="378" t="n"/>
      <c r="K33" s="379" t="n"/>
      <c r="L33" s="379" t="n"/>
    </row>
    <row r="34">
      <c r="B34" s="366" t="inlineStr">
        <is>
          <t>D. GENERAL</t>
        </is>
      </c>
      <c r="C34" s="367" t="n"/>
      <c r="D34" s="368" t="n"/>
      <c r="E34" s="369" t="n"/>
      <c r="F34" s="369" t="n"/>
      <c r="G34" s="370" t="n"/>
      <c r="H34" s="369" t="n"/>
      <c r="I34" s="369" t="n"/>
      <c r="J34" s="371" t="n"/>
      <c r="K34" s="371" t="n"/>
      <c r="L34" s="372" t="n"/>
    </row>
    <row r="35">
      <c r="B35" s="373" t="n"/>
      <c r="C35" s="374" t="n"/>
      <c r="D35" s="375" t="n"/>
      <c r="E35" s="376" t="n"/>
      <c r="F35" s="377" t="n"/>
      <c r="G35" s="376" t="n"/>
      <c r="H35" s="376" t="n"/>
      <c r="I35" s="375" t="n"/>
      <c r="J35" s="378" t="n"/>
      <c r="K35" s="379" t="n"/>
      <c r="L35" s="379" t="n"/>
    </row>
    <row r="36">
      <c r="B36" s="373" t="n"/>
      <c r="C36" s="374" t="n"/>
      <c r="D36" s="375" t="n"/>
      <c r="E36" s="376" t="n"/>
      <c r="F36" s="377" t="n"/>
      <c r="G36" s="376" t="n"/>
      <c r="H36" s="376" t="n"/>
      <c r="I36" s="375" t="n"/>
      <c r="J36" s="378" t="n"/>
      <c r="K36" s="379" t="n"/>
      <c r="L36" s="379" t="n"/>
    </row>
    <row r="37">
      <c r="B37" s="373" t="n"/>
      <c r="C37" s="374" t="n"/>
      <c r="D37" s="375" t="n"/>
      <c r="E37" s="376" t="n"/>
      <c r="F37" s="377" t="n"/>
      <c r="G37" s="376" t="n"/>
      <c r="H37" s="376" t="n"/>
      <c r="I37" s="375" t="n"/>
      <c r="J37" s="378" t="n"/>
      <c r="K37" s="379" t="n"/>
      <c r="L37" s="379" t="n"/>
    </row>
    <row r="38">
      <c r="B38" s="373" t="n"/>
      <c r="C38" s="374" t="n"/>
      <c r="D38" s="375" t="n"/>
      <c r="E38" s="376" t="n"/>
      <c r="F38" s="377" t="n"/>
      <c r="G38" s="376" t="n"/>
      <c r="H38" s="376" t="n"/>
      <c r="I38" s="375" t="n"/>
      <c r="J38" s="378" t="n"/>
      <c r="K38" s="379" t="n"/>
      <c r="L38" s="379" t="n"/>
    </row>
    <row r="39">
      <c r="B39" s="373" t="n"/>
      <c r="C39" s="374" t="n"/>
      <c r="D39" s="375" t="n"/>
      <c r="E39" s="376" t="n"/>
      <c r="F39" s="377" t="n"/>
      <c r="G39" s="376" t="n"/>
      <c r="H39" s="376" t="n"/>
      <c r="I39" s="375" t="n"/>
      <c r="J39" s="378" t="n"/>
      <c r="K39" s="379" t="n"/>
      <c r="L39" s="379" t="n"/>
    </row>
    <row r="40">
      <c r="B40" s="366" t="inlineStr">
        <is>
          <t>E. SURFACE PREPARATIONS</t>
        </is>
      </c>
      <c r="C40" s="367" t="n"/>
      <c r="D40" s="368" t="n"/>
      <c r="E40" s="369" t="n"/>
      <c r="F40" s="369" t="n"/>
      <c r="G40" s="370" t="n"/>
      <c r="H40" s="369" t="n"/>
      <c r="I40" s="369" t="n"/>
      <c r="J40" s="371" t="n"/>
      <c r="K40" s="371" t="n"/>
      <c r="L40" s="372" t="n"/>
    </row>
    <row r="41">
      <c r="B41" s="373" t="n"/>
      <c r="C41" s="374" t="n"/>
      <c r="D41" s="375" t="n"/>
      <c r="E41" s="376" t="n"/>
      <c r="F41" s="377" t="n"/>
      <c r="G41" s="376" t="n"/>
      <c r="H41" s="376" t="n"/>
      <c r="I41" s="375" t="n"/>
      <c r="J41" s="378" t="n"/>
      <c r="K41" s="379" t="n"/>
      <c r="L41" s="379" t="n"/>
    </row>
    <row r="42">
      <c r="B42" s="373" t="n"/>
      <c r="C42" s="374" t="n"/>
      <c r="D42" s="375" t="n"/>
      <c r="E42" s="376" t="n"/>
      <c r="F42" s="377" t="n"/>
      <c r="G42" s="376" t="n"/>
      <c r="H42" s="376" t="n"/>
      <c r="I42" s="375" t="n"/>
      <c r="J42" s="378" t="n"/>
      <c r="K42" s="379" t="n"/>
      <c r="L42" s="379" t="n"/>
    </row>
    <row r="43">
      <c r="B43" s="373" t="n"/>
      <c r="C43" s="374" t="n"/>
      <c r="D43" s="375" t="n"/>
      <c r="E43" s="376" t="n"/>
      <c r="F43" s="377" t="n"/>
      <c r="G43" s="376" t="n"/>
      <c r="H43" s="376" t="n"/>
      <c r="I43" s="375" t="n"/>
      <c r="J43" s="378" t="n"/>
      <c r="K43" s="379" t="n"/>
      <c r="L43" s="379" t="n"/>
    </row>
    <row r="44">
      <c r="B44" s="373" t="n"/>
      <c r="C44" s="374" t="n"/>
      <c r="D44" s="375" t="n"/>
      <c r="E44" s="376" t="n"/>
      <c r="F44" s="377" t="n"/>
      <c r="G44" s="376" t="n"/>
      <c r="H44" s="376" t="n"/>
      <c r="I44" s="375" t="n"/>
      <c r="J44" s="378" t="n"/>
      <c r="K44" s="379" t="n"/>
      <c r="L44" s="379" t="n"/>
    </row>
    <row r="45">
      <c r="B45" s="373" t="n"/>
      <c r="C45" s="374" t="n"/>
      <c r="D45" s="375" t="n"/>
      <c r="E45" s="376" t="n"/>
      <c r="F45" s="377" t="n"/>
      <c r="G45" s="376" t="n"/>
      <c r="H45" s="376" t="n"/>
      <c r="I45" s="375" t="n"/>
      <c r="J45" s="378" t="n"/>
      <c r="K45" s="379" t="n"/>
      <c r="L45" s="379" t="n"/>
    </row>
    <row r="46">
      <c r="B46" s="366" t="inlineStr">
        <is>
          <t>F. PAINT</t>
        </is>
      </c>
      <c r="C46" s="367" t="n"/>
      <c r="D46" s="368" t="n"/>
      <c r="E46" s="369" t="n"/>
      <c r="F46" s="369" t="n"/>
      <c r="G46" s="370" t="n"/>
      <c r="H46" s="369" t="n"/>
      <c r="I46" s="369" t="n"/>
      <c r="J46" s="371" t="n"/>
      <c r="K46" s="371" t="n"/>
      <c r="L46" s="372" t="n"/>
    </row>
    <row r="47">
      <c r="B47" s="373" t="n"/>
      <c r="C47" s="374" t="n"/>
      <c r="D47" s="375" t="n"/>
      <c r="E47" s="376" t="n"/>
      <c r="F47" s="377" t="n"/>
      <c r="G47" s="376" t="n"/>
      <c r="H47" s="376" t="n"/>
      <c r="I47" s="375" t="n"/>
      <c r="J47" s="378" t="n"/>
      <c r="K47" s="379" t="n"/>
      <c r="L47" s="379" t="n"/>
    </row>
    <row r="48">
      <c r="B48" s="373" t="n"/>
      <c r="C48" s="374" t="n"/>
      <c r="D48" s="375" t="n"/>
      <c r="E48" s="376" t="n"/>
      <c r="F48" s="377" t="n"/>
      <c r="G48" s="376" t="n"/>
      <c r="H48" s="376" t="n"/>
      <c r="I48" s="375" t="n"/>
      <c r="J48" s="378" t="n"/>
      <c r="K48" s="379" t="n"/>
      <c r="L48" s="379" t="n"/>
    </row>
    <row r="49">
      <c r="B49" s="373" t="n"/>
      <c r="C49" s="374" t="n"/>
      <c r="D49" s="375" t="n"/>
      <c r="E49" s="376" t="n"/>
      <c r="F49" s="377" t="n"/>
      <c r="G49" s="376" t="n"/>
      <c r="H49" s="376" t="n"/>
      <c r="I49" s="375" t="n"/>
      <c r="J49" s="378" t="n"/>
      <c r="K49" s="379" t="n"/>
      <c r="L49" s="379" t="n"/>
    </row>
    <row r="50">
      <c r="B50" s="373" t="n"/>
      <c r="C50" s="374" t="n"/>
      <c r="D50" s="375" t="n"/>
      <c r="E50" s="376" t="n"/>
      <c r="F50" s="377" t="n"/>
      <c r="G50" s="376" t="n"/>
      <c r="H50" s="376" t="n"/>
      <c r="I50" s="375" t="n"/>
      <c r="J50" s="378" t="n"/>
      <c r="K50" s="379" t="n"/>
      <c r="L50" s="379" t="n"/>
    </row>
    <row r="51">
      <c r="B51" s="373" t="n"/>
      <c r="C51" s="374" t="n"/>
      <c r="D51" s="375" t="n"/>
      <c r="E51" s="376" t="n"/>
      <c r="F51" s="377" t="n"/>
      <c r="G51" s="376" t="n"/>
      <c r="H51" s="376" t="n"/>
      <c r="I51" s="375" t="n"/>
      <c r="J51" s="378" t="n"/>
      <c r="K51" s="379" t="n"/>
      <c r="L51" s="379" t="n"/>
    </row>
    <row r="52">
      <c r="B52" s="366" t="inlineStr">
        <is>
          <t>G. STEEL</t>
        </is>
      </c>
      <c r="C52" s="367" t="n"/>
      <c r="D52" s="368" t="n"/>
      <c r="E52" s="369" t="n"/>
      <c r="F52" s="369" t="n"/>
      <c r="G52" s="370" t="n"/>
      <c r="H52" s="369" t="n"/>
      <c r="I52" s="369" t="n"/>
      <c r="J52" s="371" t="n"/>
      <c r="K52" s="371" t="n"/>
      <c r="L52" s="372" t="n"/>
    </row>
    <row r="53">
      <c r="B53" s="373" t="n"/>
      <c r="C53" s="374" t="n"/>
      <c r="D53" s="375" t="n"/>
      <c r="E53" s="376" t="n"/>
      <c r="F53" s="377" t="n"/>
      <c r="G53" s="376" t="n"/>
      <c r="H53" s="376" t="n"/>
      <c r="I53" s="375" t="n"/>
      <c r="J53" s="378" t="n"/>
      <c r="K53" s="379" t="n"/>
      <c r="L53" s="379" t="n"/>
    </row>
    <row r="54">
      <c r="B54" s="373" t="n"/>
      <c r="C54" s="374" t="n"/>
      <c r="D54" s="375" t="n"/>
      <c r="E54" s="376" t="n"/>
      <c r="F54" s="377" t="n"/>
      <c r="G54" s="376" t="n"/>
      <c r="H54" s="376" t="n"/>
      <c r="I54" s="375" t="n"/>
      <c r="J54" s="378" t="n"/>
      <c r="K54" s="379" t="n"/>
      <c r="L54" s="379" t="n"/>
    </row>
    <row r="55">
      <c r="B55" s="373" t="n"/>
      <c r="C55" s="374" t="n"/>
      <c r="D55" s="375" t="n"/>
      <c r="E55" s="376" t="n"/>
      <c r="F55" s="377" t="n"/>
      <c r="G55" s="376" t="n"/>
      <c r="H55" s="376" t="n"/>
      <c r="I55" s="375" t="n"/>
      <c r="J55" s="378" t="n"/>
      <c r="K55" s="379" t="n"/>
      <c r="L55" s="379" t="n"/>
    </row>
    <row r="56">
      <c r="B56" s="373" t="n"/>
      <c r="C56" s="374" t="n"/>
      <c r="D56" s="375" t="n"/>
      <c r="E56" s="376" t="n"/>
      <c r="F56" s="377" t="n"/>
      <c r="G56" s="376" t="n"/>
      <c r="H56" s="376" t="n"/>
      <c r="I56" s="375" t="n"/>
      <c r="J56" s="378" t="n"/>
      <c r="K56" s="379" t="n"/>
      <c r="L56" s="379" t="n"/>
    </row>
    <row r="57">
      <c r="B57" s="373" t="n"/>
      <c r="C57" s="374" t="n"/>
      <c r="D57" s="375" t="n"/>
      <c r="E57" s="376" t="n"/>
      <c r="F57" s="377" t="n"/>
      <c r="G57" s="376" t="n"/>
      <c r="H57" s="376" t="n"/>
      <c r="I57" s="375" t="n"/>
      <c r="J57" s="378" t="n"/>
      <c r="K57" s="379" t="n"/>
      <c r="L57" s="379" t="n"/>
    </row>
    <row r="58">
      <c r="B58" s="366" t="inlineStr">
        <is>
          <t>H. TANKS</t>
        </is>
      </c>
      <c r="C58" s="367" t="n"/>
      <c r="D58" s="368" t="n"/>
      <c r="E58" s="369" t="n"/>
      <c r="F58" s="369" t="n"/>
      <c r="G58" s="370" t="n"/>
      <c r="H58" s="369" t="n"/>
      <c r="I58" s="369" t="n"/>
      <c r="J58" s="371" t="n"/>
      <c r="K58" s="371" t="n"/>
      <c r="L58" s="372" t="n"/>
    </row>
    <row r="59">
      <c r="B59" s="373" t="n"/>
      <c r="C59" s="374" t="n"/>
      <c r="D59" s="375" t="n"/>
      <c r="E59" s="376" t="n"/>
      <c r="F59" s="377" t="n"/>
      <c r="G59" s="376" t="n"/>
      <c r="H59" s="376" t="n"/>
      <c r="I59" s="375" t="n"/>
      <c r="J59" s="378" t="n"/>
      <c r="K59" s="379" t="n"/>
      <c r="L59" s="379" t="n"/>
    </row>
    <row r="60">
      <c r="B60" s="373" t="n"/>
      <c r="C60" s="374" t="n"/>
      <c r="D60" s="375" t="n"/>
      <c r="E60" s="376" t="n"/>
      <c r="F60" s="377" t="n"/>
      <c r="G60" s="376" t="n"/>
      <c r="H60" s="376" t="n"/>
      <c r="I60" s="375" t="n"/>
      <c r="J60" s="378" t="n"/>
      <c r="K60" s="379" t="n"/>
      <c r="L60" s="379" t="n"/>
    </row>
    <row r="61">
      <c r="B61" s="373" t="n"/>
      <c r="C61" s="374" t="n"/>
      <c r="D61" s="375" t="n"/>
      <c r="E61" s="376" t="n"/>
      <c r="F61" s="377" t="n"/>
      <c r="G61" s="376" t="n"/>
      <c r="H61" s="376" t="n"/>
      <c r="I61" s="375" t="n"/>
      <c r="J61" s="378" t="n"/>
      <c r="K61" s="379" t="n"/>
      <c r="L61" s="379" t="n"/>
    </row>
    <row r="62">
      <c r="B62" s="373" t="n"/>
      <c r="C62" s="374" t="n"/>
      <c r="D62" s="375" t="n"/>
      <c r="E62" s="376" t="n"/>
      <c r="F62" s="377" t="n"/>
      <c r="G62" s="376" t="n"/>
      <c r="H62" s="376" t="n"/>
      <c r="I62" s="375" t="n"/>
      <c r="J62" s="378" t="n"/>
      <c r="K62" s="379" t="n"/>
      <c r="L62" s="379" t="n"/>
    </row>
    <row r="63">
      <c r="B63" s="373" t="n"/>
      <c r="C63" s="374" t="n"/>
      <c r="D63" s="375" t="n"/>
      <c r="E63" s="376" t="n"/>
      <c r="F63" s="377" t="n"/>
      <c r="G63" s="376" t="n"/>
      <c r="H63" s="376" t="n"/>
      <c r="I63" s="375" t="n"/>
      <c r="J63" s="378" t="n"/>
      <c r="K63" s="379" t="n"/>
      <c r="L63" s="379" t="n"/>
    </row>
    <row r="64">
      <c r="B64" s="366" t="inlineStr">
        <is>
          <t>I. SEAWATER LINES</t>
        </is>
      </c>
      <c r="C64" s="367" t="n"/>
      <c r="D64" s="368" t="n"/>
      <c r="E64" s="369" t="n"/>
      <c r="F64" s="369" t="n"/>
      <c r="G64" s="370" t="n"/>
      <c r="H64" s="369" t="n"/>
      <c r="I64" s="369" t="n"/>
      <c r="J64" s="371" t="n"/>
      <c r="K64" s="371" t="n"/>
      <c r="L64" s="372" t="n"/>
    </row>
    <row r="65">
      <c r="B65" s="373" t="n"/>
      <c r="C65" s="374" t="n"/>
      <c r="D65" s="375" t="n"/>
      <c r="E65" s="376" t="n"/>
      <c r="F65" s="377" t="n"/>
      <c r="G65" s="376" t="n"/>
      <c r="H65" s="376" t="n"/>
      <c r="I65" s="375" t="n"/>
      <c r="J65" s="378" t="n"/>
      <c r="K65" s="379" t="n"/>
      <c r="L65" s="379" t="n"/>
    </row>
    <row r="66">
      <c r="B66" s="373" t="n"/>
      <c r="C66" s="374" t="n"/>
      <c r="D66" s="375" t="n"/>
      <c r="E66" s="376" t="n"/>
      <c r="F66" s="377" t="n"/>
      <c r="G66" s="376" t="n"/>
      <c r="H66" s="376" t="n"/>
      <c r="I66" s="375" t="n"/>
      <c r="J66" s="378" t="n"/>
      <c r="K66" s="379" t="n"/>
      <c r="L66" s="379" t="n"/>
    </row>
    <row r="67">
      <c r="B67" s="373" t="n"/>
      <c r="C67" s="374" t="n"/>
      <c r="D67" s="375" t="n"/>
      <c r="E67" s="376" t="n"/>
      <c r="F67" s="377" t="n"/>
      <c r="G67" s="376" t="n"/>
      <c r="H67" s="376" t="n"/>
      <c r="I67" s="375" t="n"/>
      <c r="J67" s="378" t="n"/>
      <c r="K67" s="379" t="n"/>
      <c r="L67" s="379" t="n"/>
    </row>
    <row r="68">
      <c r="B68" s="373" t="n"/>
      <c r="C68" s="374" t="n"/>
      <c r="D68" s="375" t="n"/>
      <c r="E68" s="376" t="n"/>
      <c r="F68" s="377" t="n"/>
      <c r="G68" s="376" t="n"/>
      <c r="H68" s="376" t="n"/>
      <c r="I68" s="375" t="n"/>
      <c r="J68" s="378" t="n"/>
      <c r="K68" s="379" t="n"/>
      <c r="L68" s="379" t="n"/>
    </row>
    <row r="69">
      <c r="B69" s="373" t="n"/>
      <c r="C69" s="374" t="n"/>
      <c r="D69" s="375" t="n"/>
      <c r="E69" s="376" t="n"/>
      <c r="F69" s="377" t="n"/>
      <c r="G69" s="376" t="n"/>
      <c r="H69" s="376" t="n"/>
      <c r="I69" s="375" t="n"/>
      <c r="J69" s="378" t="n"/>
      <c r="K69" s="379" t="n"/>
      <c r="L69" s="379" t="n"/>
    </row>
    <row r="70">
      <c r="B70" s="366" t="inlineStr">
        <is>
          <t>J. HOPPER</t>
        </is>
      </c>
      <c r="C70" s="367" t="n"/>
      <c r="D70" s="368" t="n"/>
      <c r="E70" s="369" t="n"/>
      <c r="F70" s="369" t="n"/>
      <c r="G70" s="370" t="n"/>
      <c r="H70" s="369" t="n"/>
      <c r="I70" s="369" t="n"/>
      <c r="J70" s="371" t="n"/>
      <c r="K70" s="371" t="n"/>
      <c r="L70" s="372" t="n"/>
    </row>
    <row r="71">
      <c r="B71" s="373" t="n"/>
      <c r="C71" s="374" t="n"/>
      <c r="D71" s="375" t="n"/>
      <c r="E71" s="376" t="n"/>
      <c r="F71" s="377" t="n"/>
      <c r="G71" s="376" t="n"/>
      <c r="H71" s="376" t="n"/>
      <c r="I71" s="375" t="n"/>
      <c r="J71" s="378" t="n"/>
      <c r="K71" s="379" t="n"/>
      <c r="L71" s="379" t="n"/>
    </row>
    <row r="72">
      <c r="B72" s="373" t="n"/>
      <c r="C72" s="374" t="n"/>
      <c r="D72" s="375" t="n"/>
      <c r="E72" s="376" t="n"/>
      <c r="F72" s="377" t="n"/>
      <c r="G72" s="376" t="n"/>
      <c r="H72" s="376" t="n"/>
      <c r="I72" s="375" t="n"/>
      <c r="J72" s="378" t="n"/>
      <c r="K72" s="379" t="n"/>
      <c r="L72" s="379" t="n"/>
    </row>
    <row r="73">
      <c r="B73" s="373" t="n"/>
      <c r="C73" s="374" t="n"/>
      <c r="D73" s="375" t="n"/>
      <c r="E73" s="376" t="n"/>
      <c r="F73" s="377" t="n"/>
      <c r="G73" s="376" t="n"/>
      <c r="H73" s="376" t="n"/>
      <c r="I73" s="375" t="n"/>
      <c r="J73" s="378" t="n"/>
      <c r="K73" s="379" t="n"/>
      <c r="L73" s="379" t="n"/>
    </row>
    <row r="74">
      <c r="B74" s="373" t="n"/>
      <c r="C74" s="374" t="n"/>
      <c r="D74" s="375" t="n"/>
      <c r="E74" s="376" t="n"/>
      <c r="F74" s="377" t="n"/>
      <c r="G74" s="376" t="n"/>
      <c r="H74" s="376" t="n"/>
      <c r="I74" s="375" t="n"/>
      <c r="J74" s="378" t="n"/>
      <c r="K74" s="379" t="n"/>
      <c r="L74" s="379" t="n"/>
    </row>
    <row r="75">
      <c r="B75" s="373" t="n"/>
      <c r="C75" s="374" t="n"/>
      <c r="D75" s="375" t="n"/>
      <c r="E75" s="376" t="n"/>
      <c r="F75" s="377" t="n"/>
      <c r="G75" s="376" t="n"/>
      <c r="H75" s="376" t="n"/>
      <c r="I75" s="375" t="n"/>
      <c r="J75" s="378" t="n"/>
      <c r="K75" s="379" t="n"/>
      <c r="L75" s="379" t="n"/>
    </row>
    <row r="76">
      <c r="B76" s="366" t="inlineStr">
        <is>
          <t>M. PROPELLERS AND TAILSHAFTS</t>
        </is>
      </c>
      <c r="C76" s="367" t="n"/>
      <c r="D76" s="368" t="n"/>
      <c r="E76" s="369" t="n"/>
      <c r="F76" s="369" t="n"/>
      <c r="G76" s="370" t="n"/>
      <c r="H76" s="369" t="n"/>
      <c r="I76" s="369" t="n"/>
      <c r="J76" s="371" t="n"/>
      <c r="K76" s="371" t="n"/>
      <c r="L76" s="372" t="n"/>
    </row>
    <row r="77">
      <c r="B77" s="373" t="n"/>
      <c r="C77" s="374" t="n"/>
      <c r="D77" s="375" t="n"/>
      <c r="E77" s="376" t="n"/>
      <c r="F77" s="377" t="n"/>
      <c r="G77" s="376" t="n"/>
      <c r="H77" s="376" t="n"/>
      <c r="I77" s="375" t="n"/>
      <c r="J77" s="378" t="n"/>
      <c r="K77" s="379" t="n"/>
      <c r="L77" s="379" t="n"/>
    </row>
    <row r="78">
      <c r="B78" s="373" t="n"/>
      <c r="C78" s="374" t="n"/>
      <c r="D78" s="375" t="n"/>
      <c r="E78" s="376" t="n"/>
      <c r="F78" s="377" t="n"/>
      <c r="G78" s="376" t="n"/>
      <c r="H78" s="376" t="n"/>
      <c r="I78" s="375" t="n"/>
      <c r="J78" s="378" t="n"/>
      <c r="K78" s="379" t="n"/>
      <c r="L78" s="379" t="n"/>
    </row>
    <row r="79">
      <c r="B79" s="373" t="n"/>
      <c r="C79" s="374" t="n"/>
      <c r="D79" s="375" t="n"/>
      <c r="E79" s="376" t="n"/>
      <c r="F79" s="377" t="n"/>
      <c r="G79" s="376" t="n"/>
      <c r="H79" s="376" t="n"/>
      <c r="I79" s="375" t="n"/>
      <c r="J79" s="378" t="n"/>
      <c r="K79" s="379" t="n"/>
      <c r="L79" s="379" t="n"/>
    </row>
    <row r="80">
      <c r="B80" s="373" t="n"/>
      <c r="C80" s="374" t="n"/>
      <c r="D80" s="375" t="n"/>
      <c r="E80" s="376" t="n"/>
      <c r="F80" s="377" t="n"/>
      <c r="G80" s="376" t="n"/>
      <c r="H80" s="376" t="n"/>
      <c r="I80" s="375" t="n"/>
      <c r="J80" s="378" t="n"/>
      <c r="K80" s="379" t="n"/>
      <c r="L80" s="379" t="n"/>
    </row>
    <row r="81">
      <c r="B81" s="373" t="n"/>
      <c r="C81" s="374" t="n"/>
      <c r="D81" s="375" t="n"/>
      <c r="E81" s="376" t="n"/>
      <c r="F81" s="377" t="n"/>
      <c r="G81" s="376" t="n"/>
      <c r="H81" s="376" t="n"/>
      <c r="I81" s="375" t="n"/>
      <c r="J81" s="378" t="n"/>
      <c r="K81" s="379" t="n"/>
      <c r="L81" s="379" t="n"/>
    </row>
    <row r="82">
      <c r="B82" s="366" t="inlineStr">
        <is>
          <t>N. ENGINES</t>
        </is>
      </c>
      <c r="C82" s="367" t="n"/>
      <c r="D82" s="368" t="n"/>
      <c r="E82" s="369" t="n"/>
      <c r="F82" s="369" t="n"/>
      <c r="G82" s="370" t="n"/>
      <c r="H82" s="369" t="n"/>
      <c r="I82" s="369" t="n"/>
      <c r="J82" s="371" t="n"/>
      <c r="K82" s="371" t="n"/>
      <c r="L82" s="372" t="n"/>
    </row>
    <row r="83">
      <c r="B83" s="373" t="n"/>
      <c r="C83" s="374" t="n"/>
      <c r="D83" s="375" t="n"/>
      <c r="E83" s="376" t="n"/>
      <c r="F83" s="377" t="n"/>
      <c r="G83" s="376" t="n"/>
      <c r="H83" s="376" t="n"/>
      <c r="I83" s="375" t="n"/>
      <c r="J83" s="378" t="n"/>
      <c r="K83" s="379" t="n"/>
      <c r="L83" s="379" t="n"/>
    </row>
    <row r="84">
      <c r="B84" s="373" t="n"/>
      <c r="C84" s="374" t="n"/>
      <c r="D84" s="375" t="n"/>
      <c r="E84" s="376" t="n"/>
      <c r="F84" s="377" t="n"/>
      <c r="G84" s="376" t="n"/>
      <c r="H84" s="376" t="n"/>
      <c r="I84" s="375" t="n"/>
      <c r="J84" s="378" t="n"/>
      <c r="K84" s="379" t="n"/>
      <c r="L84" s="379" t="n"/>
    </row>
    <row r="85">
      <c r="B85" s="373" t="n"/>
      <c r="C85" s="374" t="n"/>
      <c r="D85" s="375" t="n"/>
      <c r="E85" s="376" t="n"/>
      <c r="F85" s="377" t="n"/>
      <c r="G85" s="376" t="n"/>
      <c r="H85" s="376" t="n"/>
      <c r="I85" s="375" t="n"/>
      <c r="J85" s="378" t="n"/>
      <c r="K85" s="379" t="n"/>
      <c r="L85" s="379" t="n"/>
    </row>
    <row r="86">
      <c r="B86" s="373" t="n"/>
      <c r="C86" s="374" t="n"/>
      <c r="D86" s="375" t="n"/>
      <c r="E86" s="376" t="n"/>
      <c r="F86" s="377" t="n"/>
      <c r="G86" s="376" t="n"/>
      <c r="H86" s="376" t="n"/>
      <c r="I86" s="375" t="n"/>
      <c r="J86" s="378" t="n"/>
      <c r="K86" s="379" t="n"/>
      <c r="L86" s="379" t="n"/>
    </row>
    <row r="87">
      <c r="B87" s="373" t="n"/>
      <c r="C87" s="374" t="n"/>
      <c r="D87" s="375" t="n"/>
      <c r="E87" s="376" t="n"/>
      <c r="F87" s="377" t="n"/>
      <c r="G87" s="376" t="n"/>
      <c r="H87" s="376" t="n"/>
      <c r="I87" s="375" t="n"/>
      <c r="J87" s="378" t="n"/>
      <c r="K87" s="379" t="n"/>
      <c r="L87" s="379" t="n"/>
    </row>
    <row r="88">
      <c r="B88" s="366" t="inlineStr">
        <is>
          <t>Q. AUXILIARIES</t>
        </is>
      </c>
      <c r="C88" s="367" t="n"/>
      <c r="D88" s="368" t="n"/>
      <c r="E88" s="369" t="n"/>
      <c r="F88" s="369" t="n"/>
      <c r="G88" s="370" t="n"/>
      <c r="H88" s="369" t="n"/>
      <c r="I88" s="369" t="n"/>
      <c r="J88" s="371" t="n"/>
      <c r="K88" s="371" t="n"/>
      <c r="L88" s="372" t="n"/>
    </row>
    <row r="89">
      <c r="B89" s="373" t="n"/>
      <c r="C89" s="374" t="n"/>
      <c r="D89" s="375" t="n"/>
      <c r="E89" s="376" t="n"/>
      <c r="F89" s="377" t="n"/>
      <c r="G89" s="376" t="n"/>
      <c r="H89" s="376" t="n"/>
      <c r="I89" s="375" t="n"/>
      <c r="J89" s="378" t="n"/>
      <c r="K89" s="379" t="n"/>
      <c r="L89" s="379" t="n"/>
    </row>
    <row r="90">
      <c r="B90" s="373" t="n"/>
      <c r="C90" s="374" t="n"/>
      <c r="D90" s="375" t="n"/>
      <c r="E90" s="376" t="n"/>
      <c r="F90" s="377" t="n"/>
      <c r="G90" s="376" t="n"/>
      <c r="H90" s="376" t="n"/>
      <c r="I90" s="375" t="n"/>
      <c r="J90" s="378" t="n"/>
      <c r="K90" s="379" t="n"/>
      <c r="L90" s="379" t="n"/>
    </row>
    <row r="91">
      <c r="B91" s="373" t="n"/>
      <c r="C91" s="374" t="n"/>
      <c r="D91" s="375" t="n"/>
      <c r="E91" s="376" t="n"/>
      <c r="F91" s="377" t="n"/>
      <c r="G91" s="376" t="n"/>
      <c r="H91" s="376" t="n"/>
      <c r="I91" s="375" t="n"/>
      <c r="J91" s="378" t="n"/>
      <c r="K91" s="379" t="n"/>
      <c r="L91" s="379" t="n"/>
    </row>
    <row r="92">
      <c r="B92" s="373" t="n"/>
      <c r="C92" s="374" t="n"/>
      <c r="D92" s="375" t="n"/>
      <c r="E92" s="376" t="n"/>
      <c r="F92" s="377" t="n"/>
      <c r="G92" s="376" t="n"/>
      <c r="H92" s="376" t="n"/>
      <c r="I92" s="375" t="n"/>
      <c r="J92" s="378" t="n"/>
      <c r="K92" s="379" t="n"/>
      <c r="L92" s="379" t="n"/>
    </row>
    <row r="93">
      <c r="B93" s="373" t="n"/>
      <c r="C93" s="374" t="n"/>
      <c r="D93" s="375" t="n"/>
      <c r="E93" s="376" t="n"/>
      <c r="F93" s="377" t="n"/>
      <c r="G93" s="376" t="n"/>
      <c r="H93" s="376" t="n"/>
      <c r="I93" s="375" t="n"/>
      <c r="J93" s="378" t="n"/>
      <c r="K93" s="379" t="n"/>
      <c r="L93" s="379" t="n"/>
    </row>
    <row r="94">
      <c r="B94" s="366" t="inlineStr">
        <is>
          <t>T. ANCHORS AND CHAINS</t>
        </is>
      </c>
      <c r="C94" s="367" t="n"/>
      <c r="D94" s="368" t="n"/>
      <c r="E94" s="369" t="n"/>
      <c r="F94" s="369" t="n"/>
      <c r="G94" s="370" t="n"/>
      <c r="H94" s="369" t="n"/>
      <c r="I94" s="369" t="n"/>
      <c r="J94" s="371" t="n"/>
      <c r="K94" s="371" t="n"/>
      <c r="L94" s="372" t="n"/>
    </row>
    <row r="95">
      <c r="B95" s="373" t="n"/>
      <c r="C95" s="374" t="n"/>
      <c r="D95" s="375" t="n"/>
      <c r="E95" s="376" t="n"/>
      <c r="F95" s="377" t="n"/>
      <c r="G95" s="376" t="n"/>
      <c r="H95" s="376" t="n"/>
      <c r="I95" s="375" t="n"/>
      <c r="J95" s="378" t="n"/>
      <c r="K95" s="379" t="n"/>
      <c r="L95" s="379" t="n"/>
    </row>
    <row r="96">
      <c r="B96" s="373" t="n"/>
      <c r="C96" s="374" t="n"/>
      <c r="D96" s="375" t="n"/>
      <c r="E96" s="376" t="n"/>
      <c r="F96" s="377" t="n"/>
      <c r="G96" s="376" t="n"/>
      <c r="H96" s="376" t="n"/>
      <c r="I96" s="375" t="n"/>
      <c r="J96" s="378" t="n"/>
      <c r="K96" s="379" t="n"/>
      <c r="L96" s="379" t="n"/>
    </row>
    <row r="97">
      <c r="B97" s="373" t="n"/>
      <c r="C97" s="374" t="n"/>
      <c r="D97" s="375" t="n"/>
      <c r="E97" s="376" t="n"/>
      <c r="F97" s="377" t="n"/>
      <c r="G97" s="376" t="n"/>
      <c r="H97" s="376" t="n"/>
      <c r="I97" s="375" t="n"/>
      <c r="J97" s="378" t="n"/>
      <c r="K97" s="379" t="n"/>
      <c r="L97" s="379" t="n"/>
    </row>
    <row r="98">
      <c r="B98" s="373" t="n"/>
      <c r="C98" s="374" t="n"/>
      <c r="D98" s="375" t="n"/>
      <c r="E98" s="376" t="n"/>
      <c r="F98" s="377" t="n"/>
      <c r="G98" s="376" t="n"/>
      <c r="H98" s="376" t="n"/>
      <c r="I98" s="375" t="n"/>
      <c r="J98" s="378" t="n"/>
      <c r="K98" s="379" t="n"/>
      <c r="L98" s="379" t="n"/>
    </row>
    <row r="99">
      <c r="B99" s="373" t="n"/>
      <c r="C99" s="374" t="n"/>
      <c r="D99" s="375" t="n"/>
      <c r="E99" s="376" t="n"/>
      <c r="F99" s="377" t="n"/>
      <c r="G99" s="376" t="n"/>
      <c r="H99" s="376" t="n"/>
      <c r="I99" s="375" t="n"/>
      <c r="J99" s="378" t="n"/>
      <c r="K99" s="379" t="n"/>
      <c r="L99" s="379" t="n"/>
    </row>
    <row r="100">
      <c r="B100" s="366" t="inlineStr">
        <is>
          <t>X. MISCELLANEOUS</t>
        </is>
      </c>
      <c r="C100" s="367" t="n"/>
      <c r="D100" s="368" t="n"/>
      <c r="E100" s="369" t="n"/>
      <c r="F100" s="369" t="n"/>
      <c r="G100" s="370" t="n"/>
      <c r="H100" s="369" t="n"/>
      <c r="I100" s="369" t="n"/>
      <c r="J100" s="371" t="n"/>
      <c r="K100" s="371" t="n"/>
      <c r="L100" s="372" t="n"/>
    </row>
    <row r="101">
      <c r="B101" s="373" t="n"/>
      <c r="C101" s="374" t="n"/>
      <c r="D101" s="375" t="n"/>
      <c r="E101" s="376" t="n"/>
      <c r="F101" s="377" t="n"/>
      <c r="G101" s="376" t="n"/>
      <c r="H101" s="376" t="n"/>
      <c r="I101" s="375" t="n"/>
      <c r="J101" s="378" t="n"/>
      <c r="K101" s="379" t="n"/>
      <c r="L101" s="379" t="n"/>
    </row>
    <row r="102">
      <c r="B102" s="373" t="n"/>
      <c r="C102" s="374" t="n"/>
      <c r="D102" s="375" t="n"/>
      <c r="E102" s="376" t="n"/>
      <c r="F102" s="377" t="n"/>
      <c r="G102" s="376" t="n"/>
      <c r="H102" s="376" t="n"/>
      <c r="I102" s="375" t="n"/>
      <c r="J102" s="378" t="n"/>
      <c r="K102" s="379" t="n"/>
      <c r="L102" s="379" t="n"/>
    </row>
    <row r="103">
      <c r="B103" s="373" t="n"/>
      <c r="C103" s="374" t="n"/>
      <c r="D103" s="375" t="n"/>
      <c r="E103" s="376" t="n"/>
      <c r="F103" s="377" t="n"/>
      <c r="G103" s="376" t="n"/>
      <c r="H103" s="376" t="n"/>
      <c r="I103" s="375" t="n"/>
      <c r="J103" s="378" t="n"/>
      <c r="K103" s="379" t="n"/>
      <c r="L103" s="379" t="n"/>
    </row>
    <row r="104">
      <c r="B104" s="373" t="n"/>
      <c r="C104" s="374" t="n"/>
      <c r="D104" s="375" t="n"/>
      <c r="E104" s="376" t="n"/>
      <c r="F104" s="377" t="n"/>
      <c r="G104" s="376" t="n"/>
      <c r="H104" s="376" t="n"/>
      <c r="I104" s="375" t="n"/>
      <c r="J104" s="378" t="n"/>
      <c r="K104" s="379" t="n"/>
      <c r="L104" s="379" t="n"/>
    </row>
    <row r="105">
      <c r="B105" s="373" t="n"/>
      <c r="C105" s="374" t="n"/>
      <c r="D105" s="375" t="n"/>
      <c r="E105" s="376" t="n"/>
      <c r="F105" s="377" t="n"/>
      <c r="G105" s="376" t="n"/>
      <c r="H105" s="376" t="n"/>
      <c r="I105" s="375" t="n"/>
      <c r="J105" s="378" t="n"/>
      <c r="K105" s="379" t="n"/>
      <c r="L105" s="379" t="n"/>
    </row>
  </sheetData>
  <autoFilter ref="B15:L105"/>
  <mergeCells count="3">
    <mergeCell ref="G13:H13"/>
    <mergeCell ref="L2:L13"/>
    <mergeCell ref="B2:F13"/>
  </mergeCells>
  <pageMargins left="0.25" right="0.25" top="0.75" bottom="0.75" header="0.3" footer="0.3"/>
  <pageSetup orientation="landscape" paperSize="8" scale="10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L105"/>
  <sheetViews>
    <sheetView showGridLines="1" zoomScale="85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" customWidth="1" min="1" max="1"/>
    <col width="13.7109375" customWidth="1" min="2" max="2"/>
    <col width="78.140625" customWidth="1" min="3" max="3"/>
    <col width="10.5703125" customWidth="1" min="4" max="4"/>
    <col width="12.7109375" customWidth="1" min="5" max="5"/>
    <col width="10" customWidth="1" min="6" max="6"/>
    <col width="11.28515625" customWidth="1" min="7" max="7"/>
    <col width="20.85546875" customWidth="1" min="8" max="8"/>
    <col width="14.7109375" customWidth="1" min="9" max="9"/>
    <col width="20.140625" customWidth="1" min="10" max="10"/>
    <col width="72.85546875" customWidth="1" min="11" max="11"/>
    <col width="49.5703125" customWidth="1" min="12" max="12"/>
  </cols>
  <sheetData>
    <row r="1" ht="10.5" customHeight="1"/>
    <row r="2" ht="15" customHeight="1">
      <c r="B2" s="380" t="inlineStr">
        <is>
          <t>AL-IDRISI - Drydock 2027 &lt;Place&gt;
Estimated scope of works</t>
        </is>
      </c>
      <c r="C2" s="344" t="n"/>
      <c r="D2" s="344" t="n"/>
      <c r="E2" s="344" t="n"/>
      <c r="F2" s="344" t="n"/>
      <c r="G2" s="345" t="inlineStr">
        <is>
          <t>Rev. #</t>
        </is>
      </c>
      <c r="H2" s="346" t="inlineStr">
        <is>
          <t>Name</t>
        </is>
      </c>
      <c r="I2" s="347" t="inlineStr">
        <is>
          <t>Date</t>
        </is>
      </c>
      <c r="K2" s="348" t="inlineStr">
        <is>
          <t>not yet started</t>
        </is>
      </c>
      <c r="L2" s="349" t="n"/>
    </row>
    <row r="3" ht="14.25" customHeight="1">
      <c r="B3" s="350" t="n"/>
      <c r="C3" s="351" t="n"/>
      <c r="D3" s="351" t="n"/>
      <c r="E3" s="351" t="n"/>
      <c r="F3" s="351" t="n"/>
      <c r="G3" s="12" t="inlineStr">
        <is>
          <t>Rev00</t>
        </is>
      </c>
      <c r="H3" s="13" t="inlineStr">
        <is>
          <t>PSKO</t>
        </is>
      </c>
      <c r="I3" s="14" t="n">
        <v>46308</v>
      </c>
      <c r="K3" s="352" t="inlineStr">
        <is>
          <t>Ongoing</t>
        </is>
      </c>
      <c r="L3" s="349" t="n"/>
    </row>
    <row r="4" ht="14.25" customHeight="1">
      <c r="B4" s="350" t="n"/>
      <c r="C4" s="351" t="n"/>
      <c r="D4" s="351" t="n"/>
      <c r="E4" s="351" t="n"/>
      <c r="F4" s="351" t="n"/>
      <c r="G4" s="12" t="n"/>
      <c r="H4" s="13" t="n"/>
      <c r="I4" s="14" t="n"/>
      <c r="K4" s="353" t="inlineStr">
        <is>
          <t>Done</t>
        </is>
      </c>
      <c r="L4" s="349" t="n"/>
    </row>
    <row r="5" ht="14.25" customHeight="1">
      <c r="B5" s="350" t="n"/>
      <c r="C5" s="351" t="n"/>
      <c r="D5" s="351" t="n"/>
      <c r="E5" s="351" t="n"/>
      <c r="F5" s="351" t="n"/>
      <c r="G5" s="12" t="n"/>
      <c r="H5" s="13" t="n"/>
      <c r="I5" s="14" t="n"/>
      <c r="K5" s="354" t="inlineStr">
        <is>
          <t>TBC</t>
        </is>
      </c>
      <c r="L5" s="349" t="n"/>
    </row>
    <row r="6" ht="14.25" customHeight="1">
      <c r="B6" s="350" t="n"/>
      <c r="C6" s="351" t="n"/>
      <c r="D6" s="351" t="n"/>
      <c r="E6" s="351" t="n"/>
      <c r="F6" s="351" t="n"/>
      <c r="G6" s="12" t="n"/>
      <c r="H6" s="13" t="n"/>
      <c r="I6" s="14" t="n"/>
      <c r="K6" s="355" t="inlineStr">
        <is>
          <t>Cancelled</t>
        </is>
      </c>
      <c r="L6" s="349" t="n"/>
    </row>
    <row r="7" ht="14.25" customHeight="1">
      <c r="B7" s="350" t="n"/>
      <c r="C7" s="351" t="n"/>
      <c r="D7" s="351" t="n"/>
      <c r="E7" s="351" t="n"/>
      <c r="F7" s="351" t="n"/>
      <c r="G7" s="12" t="n"/>
      <c r="H7" s="13" t="n"/>
      <c r="I7" s="14" t="n"/>
      <c r="L7" s="349" t="n"/>
    </row>
    <row r="8" ht="14.25" customHeight="1">
      <c r="B8" s="350" t="n"/>
      <c r="C8" s="351" t="n"/>
      <c r="D8" s="351" t="n"/>
      <c r="E8" s="351" t="n"/>
      <c r="F8" s="351" t="n"/>
      <c r="G8" s="12" t="n"/>
      <c r="H8" s="13" t="n"/>
      <c r="I8" s="14" t="n"/>
      <c r="L8" s="349" t="n"/>
    </row>
    <row r="9" ht="14.25" customHeight="1">
      <c r="B9" s="350" t="n"/>
      <c r="C9" s="351" t="n"/>
      <c r="D9" s="351" t="n"/>
      <c r="E9" s="351" t="n"/>
      <c r="F9" s="351" t="n"/>
      <c r="G9" s="12" t="n"/>
      <c r="H9" s="13" t="n"/>
      <c r="I9" s="14" t="n"/>
      <c r="L9" s="349" t="n"/>
    </row>
    <row r="10" ht="14.25" customHeight="1">
      <c r="B10" s="350" t="n"/>
      <c r="C10" s="351" t="n"/>
      <c r="D10" s="351" t="n"/>
      <c r="E10" s="351" t="n"/>
      <c r="F10" s="351" t="n"/>
      <c r="G10" s="12" t="n"/>
      <c r="H10" s="13" t="n"/>
      <c r="I10" s="14" t="n"/>
      <c r="L10" s="349" t="n"/>
    </row>
    <row r="11" ht="14.25" customHeight="1">
      <c r="B11" s="350" t="n"/>
      <c r="C11" s="351" t="n"/>
      <c r="D11" s="351" t="n"/>
      <c r="E11" s="351" t="n"/>
      <c r="F11" s="351" t="n"/>
      <c r="G11" s="12" t="n"/>
      <c r="H11" s="13" t="n"/>
      <c r="I11" s="14" t="n"/>
      <c r="L11" s="349" t="n"/>
    </row>
    <row r="12" ht="14.25" customHeight="1">
      <c r="B12" s="350" t="n"/>
      <c r="C12" s="351" t="n"/>
      <c r="D12" s="351" t="n"/>
      <c r="E12" s="351" t="n"/>
      <c r="F12" s="351" t="n"/>
      <c r="G12" s="12" t="n"/>
      <c r="H12" s="13" t="n"/>
      <c r="I12" s="14" t="n"/>
      <c r="L12" s="349" t="n"/>
    </row>
    <row r="13" ht="15" customHeight="1">
      <c r="B13" s="356" t="n"/>
      <c r="C13" s="357" t="n"/>
      <c r="D13" s="357" t="n"/>
      <c r="E13" s="357" t="n"/>
      <c r="F13" s="357" t="n"/>
      <c r="G13" s="358" t="inlineStr">
        <is>
          <t>Last change</t>
        </is>
      </c>
      <c r="H13" s="359" t="n"/>
      <c r="I13" s="360" t="n">
        <v>46308</v>
      </c>
      <c r="L13" s="349" t="n"/>
    </row>
    <row r="14" ht="15" customHeight="1"/>
    <row r="15" ht="38.25" customHeight="1">
      <c r="B15" s="361" t="inlineStr">
        <is>
          <t>Specs</t>
        </is>
      </c>
      <c r="C15" s="362" t="inlineStr">
        <is>
          <t>Description</t>
        </is>
      </c>
      <c r="D15" s="363" t="inlineStr">
        <is>
          <t>qty.</t>
        </is>
      </c>
      <c r="E15" s="364" t="inlineStr">
        <is>
          <t>unit</t>
        </is>
      </c>
      <c r="F15" s="361" t="inlineStr">
        <is>
          <t>Afloat/ Dock</t>
        </is>
      </c>
      <c r="G15" s="361" t="inlineStr">
        <is>
          <t>WL item</t>
        </is>
      </c>
      <c r="H15" s="364" t="inlineStr">
        <is>
          <t>RFQ</t>
        </is>
      </c>
      <c r="I15" s="361" t="inlineStr">
        <is>
          <t>PO</t>
        </is>
      </c>
      <c r="J15" s="365" t="inlineStr">
        <is>
          <t>Transport File</t>
        </is>
      </c>
      <c r="K15" s="361" t="inlineStr">
        <is>
          <t>Comments</t>
        </is>
      </c>
      <c r="L15" s="365" t="inlineStr">
        <is>
          <t>Remarks</t>
        </is>
      </c>
    </row>
    <row r="16">
      <c r="B16" s="366" t="inlineStr">
        <is>
          <t>A. PILOTAGE, MOORING AND UNMOORING</t>
        </is>
      </c>
      <c r="C16" s="367" t="n"/>
      <c r="D16" s="368" t="n"/>
      <c r="E16" s="369" t="n"/>
      <c r="F16" s="369" t="n"/>
      <c r="G16" s="370" t="n"/>
      <c r="H16" s="369" t="n"/>
      <c r="I16" s="369" t="n"/>
      <c r="J16" s="371" t="n"/>
      <c r="K16" s="371" t="n"/>
      <c r="L16" s="372" t="n"/>
    </row>
    <row r="17">
      <c r="B17" s="373" t="n"/>
      <c r="C17" s="374" t="n"/>
      <c r="D17" s="375" t="n"/>
      <c r="E17" s="376" t="n"/>
      <c r="F17" s="377" t="n"/>
      <c r="G17" s="376" t="n"/>
      <c r="H17" s="376" t="n"/>
      <c r="I17" s="375" t="n"/>
      <c r="J17" s="378" t="n"/>
      <c r="K17" s="379" t="n"/>
      <c r="L17" s="379" t="n"/>
    </row>
    <row r="18">
      <c r="B18" s="373" t="n"/>
      <c r="C18" s="374" t="n"/>
      <c r="D18" s="375" t="n"/>
      <c r="E18" s="376" t="n"/>
      <c r="F18" s="377" t="n"/>
      <c r="G18" s="376" t="n"/>
      <c r="H18" s="376" t="n"/>
      <c r="I18" s="375" t="n"/>
      <c r="J18" s="378" t="n"/>
      <c r="K18" s="379" t="n"/>
      <c r="L18" s="379" t="n"/>
    </row>
    <row r="19">
      <c r="B19" s="373" t="n"/>
      <c r="C19" s="374" t="n"/>
      <c r="D19" s="375" t="n"/>
      <c r="E19" s="376" t="n"/>
      <c r="F19" s="377" t="n"/>
      <c r="G19" s="376" t="n"/>
      <c r="H19" s="376" t="n"/>
      <c r="I19" s="375" t="n"/>
      <c r="J19" s="378" t="n"/>
      <c r="K19" s="379" t="n"/>
      <c r="L19" s="379" t="n"/>
    </row>
    <row r="20">
      <c r="B20" s="373" t="n"/>
      <c r="C20" s="374" t="n"/>
      <c r="D20" s="375" t="n"/>
      <c r="E20" s="376" t="n"/>
      <c r="F20" s="377" t="n"/>
      <c r="G20" s="376" t="n"/>
      <c r="H20" s="376" t="n"/>
      <c r="I20" s="375" t="n"/>
      <c r="J20" s="378" t="n"/>
      <c r="K20" s="379" t="n"/>
      <c r="L20" s="379" t="n"/>
    </row>
    <row r="21">
      <c r="B21" s="373" t="n"/>
      <c r="C21" s="374" t="n"/>
      <c r="D21" s="375" t="n"/>
      <c r="E21" s="376" t="n"/>
      <c r="F21" s="377" t="n"/>
      <c r="G21" s="376" t="n"/>
      <c r="H21" s="376" t="n"/>
      <c r="I21" s="375" t="n"/>
      <c r="J21" s="378" t="n"/>
      <c r="K21" s="379" t="n"/>
      <c r="L21" s="379" t="n"/>
    </row>
    <row r="22">
      <c r="B22" s="366" t="inlineStr">
        <is>
          <t>B. DRYDOCKING</t>
        </is>
      </c>
      <c r="C22" s="367" t="n"/>
      <c r="D22" s="368" t="n"/>
      <c r="E22" s="369" t="n"/>
      <c r="F22" s="369" t="n"/>
      <c r="G22" s="370" t="n"/>
      <c r="H22" s="369" t="n"/>
      <c r="I22" s="369" t="n"/>
      <c r="J22" s="371" t="n"/>
      <c r="K22" s="371" t="n"/>
      <c r="L22" s="372" t="n"/>
    </row>
    <row r="23">
      <c r="B23" s="373" t="n"/>
      <c r="C23" s="374" t="n"/>
      <c r="D23" s="375" t="n"/>
      <c r="E23" s="376" t="n"/>
      <c r="F23" s="377" t="n"/>
      <c r="G23" s="376" t="n"/>
      <c r="H23" s="376" t="n"/>
      <c r="I23" s="375" t="n"/>
      <c r="J23" s="378" t="n"/>
      <c r="K23" s="379" t="n"/>
      <c r="L23" s="379" t="n"/>
    </row>
    <row r="24">
      <c r="B24" s="373" t="n"/>
      <c r="C24" s="374" t="n"/>
      <c r="D24" s="375" t="n"/>
      <c r="E24" s="376" t="n"/>
      <c r="F24" s="377" t="n"/>
      <c r="G24" s="376" t="n"/>
      <c r="H24" s="376" t="n"/>
      <c r="I24" s="375" t="n"/>
      <c r="J24" s="378" t="n"/>
      <c r="K24" s="379" t="n"/>
      <c r="L24" s="379" t="n"/>
    </row>
    <row r="25">
      <c r="B25" s="373" t="n"/>
      <c r="C25" s="374" t="n"/>
      <c r="D25" s="375" t="n"/>
      <c r="E25" s="376" t="n"/>
      <c r="F25" s="377" t="n"/>
      <c r="G25" s="376" t="n"/>
      <c r="H25" s="376" t="n"/>
      <c r="I25" s="375" t="n"/>
      <c r="J25" s="378" t="n"/>
      <c r="K25" s="379" t="n"/>
      <c r="L25" s="379" t="n"/>
    </row>
    <row r="26">
      <c r="B26" s="373" t="n"/>
      <c r="C26" s="374" t="n"/>
      <c r="D26" s="375" t="n"/>
      <c r="E26" s="376" t="n"/>
      <c r="F26" s="377" t="n"/>
      <c r="G26" s="376" t="n"/>
      <c r="H26" s="376" t="n"/>
      <c r="I26" s="375" t="n"/>
      <c r="J26" s="378" t="n"/>
      <c r="K26" s="379" t="n"/>
      <c r="L26" s="379" t="n"/>
    </row>
    <row r="27">
      <c r="B27" s="373" t="n"/>
      <c r="C27" s="374" t="n"/>
      <c r="D27" s="375" t="n"/>
      <c r="E27" s="376" t="n"/>
      <c r="F27" s="377" t="n"/>
      <c r="G27" s="376" t="n"/>
      <c r="H27" s="376" t="n"/>
      <c r="I27" s="375" t="n"/>
      <c r="J27" s="378" t="n"/>
      <c r="K27" s="379" t="n"/>
      <c r="L27" s="379" t="n"/>
    </row>
    <row r="28">
      <c r="B28" s="366" t="inlineStr">
        <is>
          <t>C. SERVICES</t>
        </is>
      </c>
      <c r="C28" s="367" t="n"/>
      <c r="D28" s="368" t="n"/>
      <c r="E28" s="369" t="n"/>
      <c r="F28" s="369" t="n"/>
      <c r="G28" s="370" t="n"/>
      <c r="H28" s="369" t="n"/>
      <c r="I28" s="369" t="n"/>
      <c r="J28" s="371" t="n"/>
      <c r="K28" s="371" t="n"/>
      <c r="L28" s="372" t="n"/>
    </row>
    <row r="29">
      <c r="B29" s="373" t="n"/>
      <c r="C29" s="374" t="n"/>
      <c r="D29" s="375" t="n"/>
      <c r="E29" s="376" t="n"/>
      <c r="F29" s="377" t="n"/>
      <c r="G29" s="376" t="n"/>
      <c r="H29" s="376" t="n"/>
      <c r="I29" s="375" t="n"/>
      <c r="J29" s="378" t="n"/>
      <c r="K29" s="379" t="n"/>
      <c r="L29" s="379" t="n"/>
    </row>
    <row r="30">
      <c r="B30" s="373" t="n"/>
      <c r="C30" s="374" t="n"/>
      <c r="D30" s="375" t="n"/>
      <c r="E30" s="376" t="n"/>
      <c r="F30" s="377" t="n"/>
      <c r="G30" s="376" t="n"/>
      <c r="H30" s="376" t="n"/>
      <c r="I30" s="375" t="n"/>
      <c r="J30" s="378" t="n"/>
      <c r="K30" s="379" t="n"/>
      <c r="L30" s="379" t="n"/>
    </row>
    <row r="31">
      <c r="B31" s="373" t="n"/>
      <c r="C31" s="374" t="n"/>
      <c r="D31" s="375" t="n"/>
      <c r="E31" s="376" t="n"/>
      <c r="F31" s="377" t="n"/>
      <c r="G31" s="376" t="n"/>
      <c r="H31" s="376" t="n"/>
      <c r="I31" s="375" t="n"/>
      <c r="J31" s="378" t="n"/>
      <c r="K31" s="379" t="n"/>
      <c r="L31" s="379" t="n"/>
    </row>
    <row r="32">
      <c r="B32" s="373" t="n"/>
      <c r="C32" s="374" t="n"/>
      <c r="D32" s="375" t="n"/>
      <c r="E32" s="376" t="n"/>
      <c r="F32" s="377" t="n"/>
      <c r="G32" s="376" t="n"/>
      <c r="H32" s="376" t="n"/>
      <c r="I32" s="375" t="n"/>
      <c r="J32" s="378" t="n"/>
      <c r="K32" s="379" t="n"/>
      <c r="L32" s="379" t="n"/>
    </row>
    <row r="33">
      <c r="B33" s="373" t="n"/>
      <c r="C33" s="374" t="n"/>
      <c r="D33" s="375" t="n"/>
      <c r="E33" s="376" t="n"/>
      <c r="F33" s="377" t="n"/>
      <c r="G33" s="376" t="n"/>
      <c r="H33" s="376" t="n"/>
      <c r="I33" s="375" t="n"/>
      <c r="J33" s="378" t="n"/>
      <c r="K33" s="379" t="n"/>
      <c r="L33" s="379" t="n"/>
    </row>
    <row r="34">
      <c r="B34" s="366" t="inlineStr">
        <is>
          <t>D. GENERAL</t>
        </is>
      </c>
      <c r="C34" s="367" t="n"/>
      <c r="D34" s="368" t="n"/>
      <c r="E34" s="369" t="n"/>
      <c r="F34" s="369" t="n"/>
      <c r="G34" s="370" t="n"/>
      <c r="H34" s="369" t="n"/>
      <c r="I34" s="369" t="n"/>
      <c r="J34" s="371" t="n"/>
      <c r="K34" s="371" t="n"/>
      <c r="L34" s="372" t="n"/>
    </row>
    <row r="35">
      <c r="B35" s="373" t="n"/>
      <c r="C35" s="374" t="n"/>
      <c r="D35" s="375" t="n"/>
      <c r="E35" s="376" t="n"/>
      <c r="F35" s="377" t="n"/>
      <c r="G35" s="376" t="n"/>
      <c r="H35" s="376" t="n"/>
      <c r="I35" s="375" t="n"/>
      <c r="J35" s="378" t="n"/>
      <c r="K35" s="379" t="n"/>
      <c r="L35" s="379" t="n"/>
    </row>
    <row r="36">
      <c r="B36" s="373" t="n"/>
      <c r="C36" s="374" t="n"/>
      <c r="D36" s="375" t="n"/>
      <c r="E36" s="376" t="n"/>
      <c r="F36" s="377" t="n"/>
      <c r="G36" s="376" t="n"/>
      <c r="H36" s="376" t="n"/>
      <c r="I36" s="375" t="n"/>
      <c r="J36" s="378" t="n"/>
      <c r="K36" s="379" t="n"/>
      <c r="L36" s="379" t="n"/>
    </row>
    <row r="37">
      <c r="B37" s="373" t="n"/>
      <c r="C37" s="374" t="n"/>
      <c r="D37" s="375" t="n"/>
      <c r="E37" s="376" t="n"/>
      <c r="F37" s="377" t="n"/>
      <c r="G37" s="376" t="n"/>
      <c r="H37" s="376" t="n"/>
      <c r="I37" s="375" t="n"/>
      <c r="J37" s="378" t="n"/>
      <c r="K37" s="379" t="n"/>
      <c r="L37" s="379" t="n"/>
    </row>
    <row r="38">
      <c r="B38" s="373" t="n"/>
      <c r="C38" s="374" t="n"/>
      <c r="D38" s="375" t="n"/>
      <c r="E38" s="376" t="n"/>
      <c r="F38" s="377" t="n"/>
      <c r="G38" s="376" t="n"/>
      <c r="H38" s="376" t="n"/>
      <c r="I38" s="375" t="n"/>
      <c r="J38" s="378" t="n"/>
      <c r="K38" s="379" t="n"/>
      <c r="L38" s="379" t="n"/>
    </row>
    <row r="39">
      <c r="B39" s="373" t="n"/>
      <c r="C39" s="374" t="n"/>
      <c r="D39" s="375" t="n"/>
      <c r="E39" s="376" t="n"/>
      <c r="F39" s="377" t="n"/>
      <c r="G39" s="376" t="n"/>
      <c r="H39" s="376" t="n"/>
      <c r="I39" s="375" t="n"/>
      <c r="J39" s="378" t="n"/>
      <c r="K39" s="379" t="n"/>
      <c r="L39" s="379" t="n"/>
    </row>
    <row r="40">
      <c r="B40" s="366" t="inlineStr">
        <is>
          <t>E. SURFACE PREPARATIONS</t>
        </is>
      </c>
      <c r="C40" s="367" t="n"/>
      <c r="D40" s="368" t="n"/>
      <c r="E40" s="369" t="n"/>
      <c r="F40" s="369" t="n"/>
      <c r="G40" s="370" t="n"/>
      <c r="H40" s="369" t="n"/>
      <c r="I40" s="369" t="n"/>
      <c r="J40" s="371" t="n"/>
      <c r="K40" s="371" t="n"/>
      <c r="L40" s="372" t="n"/>
    </row>
    <row r="41">
      <c r="B41" s="373" t="n"/>
      <c r="C41" s="374" t="n"/>
      <c r="D41" s="375" t="n"/>
      <c r="E41" s="376" t="n"/>
      <c r="F41" s="377" t="n"/>
      <c r="G41" s="376" t="n"/>
      <c r="H41" s="376" t="n"/>
      <c r="I41" s="375" t="n"/>
      <c r="J41" s="378" t="n"/>
      <c r="K41" s="379" t="n"/>
      <c r="L41" s="379" t="n"/>
    </row>
    <row r="42">
      <c r="B42" s="373" t="n"/>
      <c r="C42" s="374" t="n"/>
      <c r="D42" s="375" t="n"/>
      <c r="E42" s="376" t="n"/>
      <c r="F42" s="377" t="n"/>
      <c r="G42" s="376" t="n"/>
      <c r="H42" s="376" t="n"/>
      <c r="I42" s="375" t="n"/>
      <c r="J42" s="378" t="n"/>
      <c r="K42" s="379" t="n"/>
      <c r="L42" s="379" t="n"/>
    </row>
    <row r="43">
      <c r="B43" s="373" t="n"/>
      <c r="C43" s="374" t="n"/>
      <c r="D43" s="375" t="n"/>
      <c r="E43" s="376" t="n"/>
      <c r="F43" s="377" t="n"/>
      <c r="G43" s="376" t="n"/>
      <c r="H43" s="376" t="n"/>
      <c r="I43" s="375" t="n"/>
      <c r="J43" s="378" t="n"/>
      <c r="K43" s="379" t="n"/>
      <c r="L43" s="379" t="n"/>
    </row>
    <row r="44">
      <c r="B44" s="373" t="n"/>
      <c r="C44" s="374" t="n"/>
      <c r="D44" s="375" t="n"/>
      <c r="E44" s="376" t="n"/>
      <c r="F44" s="377" t="n"/>
      <c r="G44" s="376" t="n"/>
      <c r="H44" s="376" t="n"/>
      <c r="I44" s="375" t="n"/>
      <c r="J44" s="378" t="n"/>
      <c r="K44" s="379" t="n"/>
      <c r="L44" s="379" t="n"/>
    </row>
    <row r="45">
      <c r="B45" s="373" t="n"/>
      <c r="C45" s="374" t="n"/>
      <c r="D45" s="375" t="n"/>
      <c r="E45" s="376" t="n"/>
      <c r="F45" s="377" t="n"/>
      <c r="G45" s="376" t="n"/>
      <c r="H45" s="376" t="n"/>
      <c r="I45" s="375" t="n"/>
      <c r="J45" s="378" t="n"/>
      <c r="K45" s="379" t="n"/>
      <c r="L45" s="379" t="n"/>
    </row>
    <row r="46">
      <c r="B46" s="366" t="inlineStr">
        <is>
          <t>F. PAINT</t>
        </is>
      </c>
      <c r="C46" s="367" t="n"/>
      <c r="D46" s="368" t="n"/>
      <c r="E46" s="369" t="n"/>
      <c r="F46" s="369" t="n"/>
      <c r="G46" s="370" t="n"/>
      <c r="H46" s="369" t="n"/>
      <c r="I46" s="369" t="n"/>
      <c r="J46" s="371" t="n"/>
      <c r="K46" s="371" t="n"/>
      <c r="L46" s="372" t="n"/>
    </row>
    <row r="47">
      <c r="B47" s="373" t="n"/>
      <c r="C47" s="374" t="n"/>
      <c r="D47" s="375" t="n"/>
      <c r="E47" s="376" t="n"/>
      <c r="F47" s="377" t="n"/>
      <c r="G47" s="376" t="n"/>
      <c r="H47" s="376" t="n"/>
      <c r="I47" s="375" t="n"/>
      <c r="J47" s="378" t="n"/>
      <c r="K47" s="379" t="n"/>
      <c r="L47" s="379" t="n"/>
    </row>
    <row r="48">
      <c r="B48" s="373" t="n"/>
      <c r="C48" s="374" t="n"/>
      <c r="D48" s="375" t="n"/>
      <c r="E48" s="376" t="n"/>
      <c r="F48" s="377" t="n"/>
      <c r="G48" s="376" t="n"/>
      <c r="H48" s="376" t="n"/>
      <c r="I48" s="375" t="n"/>
      <c r="J48" s="378" t="n"/>
      <c r="K48" s="379" t="n"/>
      <c r="L48" s="379" t="n"/>
    </row>
    <row r="49">
      <c r="B49" s="373" t="n"/>
      <c r="C49" s="374" t="n"/>
      <c r="D49" s="375" t="n"/>
      <c r="E49" s="376" t="n"/>
      <c r="F49" s="377" t="n"/>
      <c r="G49" s="376" t="n"/>
      <c r="H49" s="376" t="n"/>
      <c r="I49" s="375" t="n"/>
      <c r="J49" s="378" t="n"/>
      <c r="K49" s="379" t="n"/>
      <c r="L49" s="379" t="n"/>
    </row>
    <row r="50">
      <c r="B50" s="373" t="n"/>
      <c r="C50" s="374" t="n"/>
      <c r="D50" s="375" t="n"/>
      <c r="E50" s="376" t="n"/>
      <c r="F50" s="377" t="n"/>
      <c r="G50" s="376" t="n"/>
      <c r="H50" s="376" t="n"/>
      <c r="I50" s="375" t="n"/>
      <c r="J50" s="378" t="n"/>
      <c r="K50" s="379" t="n"/>
      <c r="L50" s="379" t="n"/>
    </row>
    <row r="51">
      <c r="B51" s="373" t="n"/>
      <c r="C51" s="374" t="n"/>
      <c r="D51" s="375" t="n"/>
      <c r="E51" s="376" t="n"/>
      <c r="F51" s="377" t="n"/>
      <c r="G51" s="376" t="n"/>
      <c r="H51" s="376" t="n"/>
      <c r="I51" s="375" t="n"/>
      <c r="J51" s="378" t="n"/>
      <c r="K51" s="379" t="n"/>
      <c r="L51" s="379" t="n"/>
    </row>
    <row r="52">
      <c r="B52" s="366" t="inlineStr">
        <is>
          <t>G. STEEL</t>
        </is>
      </c>
      <c r="C52" s="367" t="n"/>
      <c r="D52" s="368" t="n"/>
      <c r="E52" s="369" t="n"/>
      <c r="F52" s="369" t="n"/>
      <c r="G52" s="370" t="n"/>
      <c r="H52" s="369" t="n"/>
      <c r="I52" s="369" t="n"/>
      <c r="J52" s="371" t="n"/>
      <c r="K52" s="371" t="n"/>
      <c r="L52" s="372" t="n"/>
    </row>
    <row r="53">
      <c r="B53" s="373" t="n"/>
      <c r="C53" s="374" t="n"/>
      <c r="D53" s="375" t="n"/>
      <c r="E53" s="376" t="n"/>
      <c r="F53" s="377" t="n"/>
      <c r="G53" s="376" t="n"/>
      <c r="H53" s="376" t="n"/>
      <c r="I53" s="375" t="n"/>
      <c r="J53" s="378" t="n"/>
      <c r="K53" s="379" t="n"/>
      <c r="L53" s="379" t="n"/>
    </row>
    <row r="54">
      <c r="B54" s="373" t="n"/>
      <c r="C54" s="374" t="n"/>
      <c r="D54" s="375" t="n"/>
      <c r="E54" s="376" t="n"/>
      <c r="F54" s="377" t="n"/>
      <c r="G54" s="376" t="n"/>
      <c r="H54" s="376" t="n"/>
      <c r="I54" s="375" t="n"/>
      <c r="J54" s="378" t="n"/>
      <c r="K54" s="379" t="n"/>
      <c r="L54" s="379" t="n"/>
    </row>
    <row r="55">
      <c r="B55" s="373" t="n"/>
      <c r="C55" s="374" t="n"/>
      <c r="D55" s="375" t="n"/>
      <c r="E55" s="376" t="n"/>
      <c r="F55" s="377" t="n"/>
      <c r="G55" s="376" t="n"/>
      <c r="H55" s="376" t="n"/>
      <c r="I55" s="375" t="n"/>
      <c r="J55" s="378" t="n"/>
      <c r="K55" s="379" t="n"/>
      <c r="L55" s="379" t="n"/>
    </row>
    <row r="56">
      <c r="B56" s="373" t="n"/>
      <c r="C56" s="374" t="n"/>
      <c r="D56" s="375" t="n"/>
      <c r="E56" s="376" t="n"/>
      <c r="F56" s="377" t="n"/>
      <c r="G56" s="376" t="n"/>
      <c r="H56" s="376" t="n"/>
      <c r="I56" s="375" t="n"/>
      <c r="J56" s="378" t="n"/>
      <c r="K56" s="379" t="n"/>
      <c r="L56" s="379" t="n"/>
    </row>
    <row r="57">
      <c r="B57" s="373" t="n"/>
      <c r="C57" s="374" t="n"/>
      <c r="D57" s="375" t="n"/>
      <c r="E57" s="376" t="n"/>
      <c r="F57" s="377" t="n"/>
      <c r="G57" s="376" t="n"/>
      <c r="H57" s="376" t="n"/>
      <c r="I57" s="375" t="n"/>
      <c r="J57" s="378" t="n"/>
      <c r="K57" s="379" t="n"/>
      <c r="L57" s="379" t="n"/>
    </row>
    <row r="58">
      <c r="B58" s="366" t="inlineStr">
        <is>
          <t>H. TANKS</t>
        </is>
      </c>
      <c r="C58" s="367" t="n"/>
      <c r="D58" s="368" t="n"/>
      <c r="E58" s="369" t="n"/>
      <c r="F58" s="369" t="n"/>
      <c r="G58" s="370" t="n"/>
      <c r="H58" s="369" t="n"/>
      <c r="I58" s="369" t="n"/>
      <c r="J58" s="371" t="n"/>
      <c r="K58" s="371" t="n"/>
      <c r="L58" s="372" t="n"/>
    </row>
    <row r="59">
      <c r="B59" s="373" t="n"/>
      <c r="C59" s="374" t="n"/>
      <c r="D59" s="375" t="n"/>
      <c r="E59" s="376" t="n"/>
      <c r="F59" s="377" t="n"/>
      <c r="G59" s="376" t="n"/>
      <c r="H59" s="376" t="n"/>
      <c r="I59" s="375" t="n"/>
      <c r="J59" s="378" t="n"/>
      <c r="K59" s="379" t="n"/>
      <c r="L59" s="379" t="n"/>
    </row>
    <row r="60">
      <c r="B60" s="373" t="n"/>
      <c r="C60" s="374" t="n"/>
      <c r="D60" s="375" t="n"/>
      <c r="E60" s="376" t="n"/>
      <c r="F60" s="377" t="n"/>
      <c r="G60" s="376" t="n"/>
      <c r="H60" s="376" t="n"/>
      <c r="I60" s="375" t="n"/>
      <c r="J60" s="378" t="n"/>
      <c r="K60" s="379" t="n"/>
      <c r="L60" s="379" t="n"/>
    </row>
    <row r="61">
      <c r="B61" s="373" t="n"/>
      <c r="C61" s="374" t="n"/>
      <c r="D61" s="375" t="n"/>
      <c r="E61" s="376" t="n"/>
      <c r="F61" s="377" t="n"/>
      <c r="G61" s="376" t="n"/>
      <c r="H61" s="376" t="n"/>
      <c r="I61" s="375" t="n"/>
      <c r="J61" s="378" t="n"/>
      <c r="K61" s="379" t="n"/>
      <c r="L61" s="379" t="n"/>
    </row>
    <row r="62">
      <c r="B62" s="373" t="n"/>
      <c r="C62" s="374" t="n"/>
      <c r="D62" s="375" t="n"/>
      <c r="E62" s="376" t="n"/>
      <c r="F62" s="377" t="n"/>
      <c r="G62" s="376" t="n"/>
      <c r="H62" s="376" t="n"/>
      <c r="I62" s="375" t="n"/>
      <c r="J62" s="378" t="n"/>
      <c r="K62" s="379" t="n"/>
      <c r="L62" s="379" t="n"/>
    </row>
    <row r="63">
      <c r="B63" s="373" t="n"/>
      <c r="C63" s="374" t="n"/>
      <c r="D63" s="375" t="n"/>
      <c r="E63" s="376" t="n"/>
      <c r="F63" s="377" t="n"/>
      <c r="G63" s="376" t="n"/>
      <c r="H63" s="376" t="n"/>
      <c r="I63" s="375" t="n"/>
      <c r="J63" s="378" t="n"/>
      <c r="K63" s="379" t="n"/>
      <c r="L63" s="379" t="n"/>
    </row>
    <row r="64">
      <c r="B64" s="366" t="inlineStr">
        <is>
          <t>I. SEAWATER LINES</t>
        </is>
      </c>
      <c r="C64" s="367" t="n"/>
      <c r="D64" s="368" t="n"/>
      <c r="E64" s="369" t="n"/>
      <c r="F64" s="369" t="n"/>
      <c r="G64" s="370" t="n"/>
      <c r="H64" s="369" t="n"/>
      <c r="I64" s="369" t="n"/>
      <c r="J64" s="371" t="n"/>
      <c r="K64" s="371" t="n"/>
      <c r="L64" s="372" t="n"/>
    </row>
    <row r="65">
      <c r="B65" s="373" t="n"/>
      <c r="C65" s="374" t="n"/>
      <c r="D65" s="375" t="n"/>
      <c r="E65" s="376" t="n"/>
      <c r="F65" s="377" t="n"/>
      <c r="G65" s="376" t="n"/>
      <c r="H65" s="376" t="n"/>
      <c r="I65" s="375" t="n"/>
      <c r="J65" s="378" t="n"/>
      <c r="K65" s="379" t="n"/>
      <c r="L65" s="379" t="n"/>
    </row>
    <row r="66">
      <c r="B66" s="373" t="n"/>
      <c r="C66" s="374" t="n"/>
      <c r="D66" s="375" t="n"/>
      <c r="E66" s="376" t="n"/>
      <c r="F66" s="377" t="n"/>
      <c r="G66" s="376" t="n"/>
      <c r="H66" s="376" t="n"/>
      <c r="I66" s="375" t="n"/>
      <c r="J66" s="378" t="n"/>
      <c r="K66" s="379" t="n"/>
      <c r="L66" s="379" t="n"/>
    </row>
    <row r="67">
      <c r="B67" s="373" t="n"/>
      <c r="C67" s="374" t="n"/>
      <c r="D67" s="375" t="n"/>
      <c r="E67" s="376" t="n"/>
      <c r="F67" s="377" t="n"/>
      <c r="G67" s="376" t="n"/>
      <c r="H67" s="376" t="n"/>
      <c r="I67" s="375" t="n"/>
      <c r="J67" s="378" t="n"/>
      <c r="K67" s="379" t="n"/>
      <c r="L67" s="379" t="n"/>
    </row>
    <row r="68">
      <c r="B68" s="373" t="n"/>
      <c r="C68" s="374" t="n"/>
      <c r="D68" s="375" t="n"/>
      <c r="E68" s="376" t="n"/>
      <c r="F68" s="377" t="n"/>
      <c r="G68" s="376" t="n"/>
      <c r="H68" s="376" t="n"/>
      <c r="I68" s="375" t="n"/>
      <c r="J68" s="378" t="n"/>
      <c r="K68" s="379" t="n"/>
      <c r="L68" s="379" t="n"/>
    </row>
    <row r="69">
      <c r="B69" s="373" t="n"/>
      <c r="C69" s="374" t="n"/>
      <c r="D69" s="375" t="n"/>
      <c r="E69" s="376" t="n"/>
      <c r="F69" s="377" t="n"/>
      <c r="G69" s="376" t="n"/>
      <c r="H69" s="376" t="n"/>
      <c r="I69" s="375" t="n"/>
      <c r="J69" s="378" t="n"/>
      <c r="K69" s="379" t="n"/>
      <c r="L69" s="379" t="n"/>
    </row>
    <row r="70">
      <c r="B70" s="366" t="inlineStr">
        <is>
          <t>J. HOPPER</t>
        </is>
      </c>
      <c r="C70" s="367" t="n"/>
      <c r="D70" s="368" t="n"/>
      <c r="E70" s="369" t="n"/>
      <c r="F70" s="369" t="n"/>
      <c r="G70" s="370" t="n"/>
      <c r="H70" s="369" t="n"/>
      <c r="I70" s="369" t="n"/>
      <c r="J70" s="371" t="n"/>
      <c r="K70" s="371" t="n"/>
      <c r="L70" s="372" t="n"/>
    </row>
    <row r="71">
      <c r="B71" s="373" t="n"/>
      <c r="C71" s="374" t="n"/>
      <c r="D71" s="375" t="n"/>
      <c r="E71" s="376" t="n"/>
      <c r="F71" s="377" t="n"/>
      <c r="G71" s="376" t="n"/>
      <c r="H71" s="376" t="n"/>
      <c r="I71" s="375" t="n"/>
      <c r="J71" s="378" t="n"/>
      <c r="K71" s="379" t="n"/>
      <c r="L71" s="379" t="n"/>
    </row>
    <row r="72">
      <c r="B72" s="373" t="n"/>
      <c r="C72" s="374" t="n"/>
      <c r="D72" s="375" t="n"/>
      <c r="E72" s="376" t="n"/>
      <c r="F72" s="377" t="n"/>
      <c r="G72" s="376" t="n"/>
      <c r="H72" s="376" t="n"/>
      <c r="I72" s="375" t="n"/>
      <c r="J72" s="378" t="n"/>
      <c r="K72" s="379" t="n"/>
      <c r="L72" s="379" t="n"/>
    </row>
    <row r="73">
      <c r="B73" s="373" t="n"/>
      <c r="C73" s="374" t="n"/>
      <c r="D73" s="375" t="n"/>
      <c r="E73" s="376" t="n"/>
      <c r="F73" s="377" t="n"/>
      <c r="G73" s="376" t="n"/>
      <c r="H73" s="376" t="n"/>
      <c r="I73" s="375" t="n"/>
      <c r="J73" s="378" t="n"/>
      <c r="K73" s="379" t="n"/>
      <c r="L73" s="379" t="n"/>
    </row>
    <row r="74">
      <c r="B74" s="373" t="n"/>
      <c r="C74" s="374" t="n"/>
      <c r="D74" s="375" t="n"/>
      <c r="E74" s="376" t="n"/>
      <c r="F74" s="377" t="n"/>
      <c r="G74" s="376" t="n"/>
      <c r="H74" s="376" t="n"/>
      <c r="I74" s="375" t="n"/>
      <c r="J74" s="378" t="n"/>
      <c r="K74" s="379" t="n"/>
      <c r="L74" s="379" t="n"/>
    </row>
    <row r="75">
      <c r="B75" s="373" t="n"/>
      <c r="C75" s="374" t="n"/>
      <c r="D75" s="375" t="n"/>
      <c r="E75" s="376" t="n"/>
      <c r="F75" s="377" t="n"/>
      <c r="G75" s="376" t="n"/>
      <c r="H75" s="376" t="n"/>
      <c r="I75" s="375" t="n"/>
      <c r="J75" s="378" t="n"/>
      <c r="K75" s="379" t="n"/>
      <c r="L75" s="379" t="n"/>
    </row>
    <row r="76">
      <c r="B76" s="366" t="inlineStr">
        <is>
          <t>M. PROPELLERS AND TAILSHAFTS</t>
        </is>
      </c>
      <c r="C76" s="367" t="n"/>
      <c r="D76" s="368" t="n"/>
      <c r="E76" s="369" t="n"/>
      <c r="F76" s="369" t="n"/>
      <c r="G76" s="370" t="n"/>
      <c r="H76" s="369" t="n"/>
      <c r="I76" s="369" t="n"/>
      <c r="J76" s="371" t="n"/>
      <c r="K76" s="371" t="n"/>
      <c r="L76" s="372" t="n"/>
    </row>
    <row r="77">
      <c r="B77" s="373" t="n"/>
      <c r="C77" s="374" t="n"/>
      <c r="D77" s="375" t="n"/>
      <c r="E77" s="376" t="n"/>
      <c r="F77" s="377" t="n"/>
      <c r="G77" s="376" t="n"/>
      <c r="H77" s="376" t="n"/>
      <c r="I77" s="375" t="n"/>
      <c r="J77" s="378" t="n"/>
      <c r="K77" s="379" t="n"/>
      <c r="L77" s="379" t="n"/>
    </row>
    <row r="78">
      <c r="B78" s="373" t="n"/>
      <c r="C78" s="374" t="n"/>
      <c r="D78" s="375" t="n"/>
      <c r="E78" s="376" t="n"/>
      <c r="F78" s="377" t="n"/>
      <c r="G78" s="376" t="n"/>
      <c r="H78" s="376" t="n"/>
      <c r="I78" s="375" t="n"/>
      <c r="J78" s="378" t="n"/>
      <c r="K78" s="379" t="n"/>
      <c r="L78" s="379" t="n"/>
    </row>
    <row r="79">
      <c r="B79" s="373" t="n"/>
      <c r="C79" s="374" t="n"/>
      <c r="D79" s="375" t="n"/>
      <c r="E79" s="376" t="n"/>
      <c r="F79" s="377" t="n"/>
      <c r="G79" s="376" t="n"/>
      <c r="H79" s="376" t="n"/>
      <c r="I79" s="375" t="n"/>
      <c r="J79" s="378" t="n"/>
      <c r="K79" s="379" t="n"/>
      <c r="L79" s="379" t="n"/>
    </row>
    <row r="80">
      <c r="B80" s="373" t="n"/>
      <c r="C80" s="374" t="n"/>
      <c r="D80" s="375" t="n"/>
      <c r="E80" s="376" t="n"/>
      <c r="F80" s="377" t="n"/>
      <c r="G80" s="376" t="n"/>
      <c r="H80" s="376" t="n"/>
      <c r="I80" s="375" t="n"/>
      <c r="J80" s="378" t="n"/>
      <c r="K80" s="379" t="n"/>
      <c r="L80" s="379" t="n"/>
    </row>
    <row r="81">
      <c r="B81" s="373" t="n"/>
      <c r="C81" s="374" t="n"/>
      <c r="D81" s="375" t="n"/>
      <c r="E81" s="376" t="n"/>
      <c r="F81" s="377" t="n"/>
      <c r="G81" s="376" t="n"/>
      <c r="H81" s="376" t="n"/>
      <c r="I81" s="375" t="n"/>
      <c r="J81" s="378" t="n"/>
      <c r="K81" s="379" t="n"/>
      <c r="L81" s="379" t="n"/>
    </row>
    <row r="82">
      <c r="B82" s="366" t="inlineStr">
        <is>
          <t>N. ENGINES</t>
        </is>
      </c>
      <c r="C82" s="367" t="n"/>
      <c r="D82" s="368" t="n"/>
      <c r="E82" s="369" t="n"/>
      <c r="F82" s="369" t="n"/>
      <c r="G82" s="370" t="n"/>
      <c r="H82" s="369" t="n"/>
      <c r="I82" s="369" t="n"/>
      <c r="J82" s="371" t="n"/>
      <c r="K82" s="371" t="n"/>
      <c r="L82" s="372" t="n"/>
    </row>
    <row r="83">
      <c r="B83" s="373" t="n"/>
      <c r="C83" s="374" t="n"/>
      <c r="D83" s="375" t="n"/>
      <c r="E83" s="376" t="n"/>
      <c r="F83" s="377" t="n"/>
      <c r="G83" s="376" t="n"/>
      <c r="H83" s="376" t="n"/>
      <c r="I83" s="375" t="n"/>
      <c r="J83" s="378" t="n"/>
      <c r="K83" s="379" t="n"/>
      <c r="L83" s="379" t="n"/>
    </row>
    <row r="84">
      <c r="B84" s="373" t="n"/>
      <c r="C84" s="374" t="n"/>
      <c r="D84" s="375" t="n"/>
      <c r="E84" s="376" t="n"/>
      <c r="F84" s="377" t="n"/>
      <c r="G84" s="376" t="n"/>
      <c r="H84" s="376" t="n"/>
      <c r="I84" s="375" t="n"/>
      <c r="J84" s="378" t="n"/>
      <c r="K84" s="379" t="n"/>
      <c r="L84" s="379" t="n"/>
    </row>
    <row r="85">
      <c r="B85" s="373" t="n"/>
      <c r="C85" s="374" t="n"/>
      <c r="D85" s="375" t="n"/>
      <c r="E85" s="376" t="n"/>
      <c r="F85" s="377" t="n"/>
      <c r="G85" s="376" t="n"/>
      <c r="H85" s="376" t="n"/>
      <c r="I85" s="375" t="n"/>
      <c r="J85" s="378" t="n"/>
      <c r="K85" s="379" t="n"/>
      <c r="L85" s="379" t="n"/>
    </row>
    <row r="86">
      <c r="B86" s="373" t="n"/>
      <c r="C86" s="374" t="n"/>
      <c r="D86" s="375" t="n"/>
      <c r="E86" s="376" t="n"/>
      <c r="F86" s="377" t="n"/>
      <c r="G86" s="376" t="n"/>
      <c r="H86" s="376" t="n"/>
      <c r="I86" s="375" t="n"/>
      <c r="J86" s="378" t="n"/>
      <c r="K86" s="379" t="n"/>
      <c r="L86" s="379" t="n"/>
    </row>
    <row r="87">
      <c r="B87" s="373" t="n"/>
      <c r="C87" s="374" t="n"/>
      <c r="D87" s="375" t="n"/>
      <c r="E87" s="376" t="n"/>
      <c r="F87" s="377" t="n"/>
      <c r="G87" s="376" t="n"/>
      <c r="H87" s="376" t="n"/>
      <c r="I87" s="375" t="n"/>
      <c r="J87" s="378" t="n"/>
      <c r="K87" s="379" t="n"/>
      <c r="L87" s="379" t="n"/>
    </row>
    <row r="88">
      <c r="B88" s="366" t="inlineStr">
        <is>
          <t>Q. AUXILIARIES</t>
        </is>
      </c>
      <c r="C88" s="367" t="n"/>
      <c r="D88" s="368" t="n"/>
      <c r="E88" s="369" t="n"/>
      <c r="F88" s="369" t="n"/>
      <c r="G88" s="370" t="n"/>
      <c r="H88" s="369" t="n"/>
      <c r="I88" s="369" t="n"/>
      <c r="J88" s="371" t="n"/>
      <c r="K88" s="371" t="n"/>
      <c r="L88" s="372" t="n"/>
    </row>
    <row r="89">
      <c r="B89" s="373" t="n"/>
      <c r="C89" s="374" t="n"/>
      <c r="D89" s="375" t="n"/>
      <c r="E89" s="376" t="n"/>
      <c r="F89" s="377" t="n"/>
      <c r="G89" s="376" t="n"/>
      <c r="H89" s="376" t="n"/>
      <c r="I89" s="375" t="n"/>
      <c r="J89" s="378" t="n"/>
      <c r="K89" s="379" t="n"/>
      <c r="L89" s="379" t="n"/>
    </row>
    <row r="90">
      <c r="B90" s="373" t="n"/>
      <c r="C90" s="374" t="n"/>
      <c r="D90" s="375" t="n"/>
      <c r="E90" s="376" t="n"/>
      <c r="F90" s="377" t="n"/>
      <c r="G90" s="376" t="n"/>
      <c r="H90" s="376" t="n"/>
      <c r="I90" s="375" t="n"/>
      <c r="J90" s="378" t="n"/>
      <c r="K90" s="379" t="n"/>
      <c r="L90" s="379" t="n"/>
    </row>
    <row r="91">
      <c r="B91" s="373" t="n"/>
      <c r="C91" s="374" t="n"/>
      <c r="D91" s="375" t="n"/>
      <c r="E91" s="376" t="n"/>
      <c r="F91" s="377" t="n"/>
      <c r="G91" s="376" t="n"/>
      <c r="H91" s="376" t="n"/>
      <c r="I91" s="375" t="n"/>
      <c r="J91" s="378" t="n"/>
      <c r="K91" s="379" t="n"/>
      <c r="L91" s="379" t="n"/>
    </row>
    <row r="92">
      <c r="B92" s="373" t="n"/>
      <c r="C92" s="374" t="n"/>
      <c r="D92" s="375" t="n"/>
      <c r="E92" s="376" t="n"/>
      <c r="F92" s="377" t="n"/>
      <c r="G92" s="376" t="n"/>
      <c r="H92" s="376" t="n"/>
      <c r="I92" s="375" t="n"/>
      <c r="J92" s="378" t="n"/>
      <c r="K92" s="379" t="n"/>
      <c r="L92" s="379" t="n"/>
    </row>
    <row r="93">
      <c r="B93" s="373" t="n"/>
      <c r="C93" s="374" t="n"/>
      <c r="D93" s="375" t="n"/>
      <c r="E93" s="376" t="n"/>
      <c r="F93" s="377" t="n"/>
      <c r="G93" s="376" t="n"/>
      <c r="H93" s="376" t="n"/>
      <c r="I93" s="375" t="n"/>
      <c r="J93" s="378" t="n"/>
      <c r="K93" s="379" t="n"/>
      <c r="L93" s="379" t="n"/>
    </row>
    <row r="94">
      <c r="B94" s="366" t="inlineStr">
        <is>
          <t>T. ANCHORS AND CHAINS</t>
        </is>
      </c>
      <c r="C94" s="367" t="n"/>
      <c r="D94" s="368" t="n"/>
      <c r="E94" s="369" t="n"/>
      <c r="F94" s="369" t="n"/>
      <c r="G94" s="370" t="n"/>
      <c r="H94" s="369" t="n"/>
      <c r="I94" s="369" t="n"/>
      <c r="J94" s="371" t="n"/>
      <c r="K94" s="371" t="n"/>
      <c r="L94" s="372" t="n"/>
    </row>
    <row r="95">
      <c r="B95" s="373" t="n"/>
      <c r="C95" s="374" t="n"/>
      <c r="D95" s="375" t="n"/>
      <c r="E95" s="376" t="n"/>
      <c r="F95" s="377" t="n"/>
      <c r="G95" s="376" t="n"/>
      <c r="H95" s="376" t="n"/>
      <c r="I95" s="375" t="n"/>
      <c r="J95" s="378" t="n"/>
      <c r="K95" s="379" t="n"/>
      <c r="L95" s="379" t="n"/>
    </row>
    <row r="96">
      <c r="B96" s="373" t="n"/>
      <c r="C96" s="374" t="n"/>
      <c r="D96" s="375" t="n"/>
      <c r="E96" s="376" t="n"/>
      <c r="F96" s="377" t="n"/>
      <c r="G96" s="376" t="n"/>
      <c r="H96" s="376" t="n"/>
      <c r="I96" s="375" t="n"/>
      <c r="J96" s="378" t="n"/>
      <c r="K96" s="379" t="n"/>
      <c r="L96" s="379" t="n"/>
    </row>
    <row r="97">
      <c r="B97" s="373" t="n"/>
      <c r="C97" s="374" t="n"/>
      <c r="D97" s="375" t="n"/>
      <c r="E97" s="376" t="n"/>
      <c r="F97" s="377" t="n"/>
      <c r="G97" s="376" t="n"/>
      <c r="H97" s="376" t="n"/>
      <c r="I97" s="375" t="n"/>
      <c r="J97" s="378" t="n"/>
      <c r="K97" s="379" t="n"/>
      <c r="L97" s="379" t="n"/>
    </row>
    <row r="98">
      <c r="B98" s="373" t="n"/>
      <c r="C98" s="374" t="n"/>
      <c r="D98" s="375" t="n"/>
      <c r="E98" s="376" t="n"/>
      <c r="F98" s="377" t="n"/>
      <c r="G98" s="376" t="n"/>
      <c r="H98" s="376" t="n"/>
      <c r="I98" s="375" t="n"/>
      <c r="J98" s="378" t="n"/>
      <c r="K98" s="379" t="n"/>
      <c r="L98" s="379" t="n"/>
    </row>
    <row r="99">
      <c r="B99" s="373" t="n"/>
      <c r="C99" s="374" t="n"/>
      <c r="D99" s="375" t="n"/>
      <c r="E99" s="376" t="n"/>
      <c r="F99" s="377" t="n"/>
      <c r="G99" s="376" t="n"/>
      <c r="H99" s="376" t="n"/>
      <c r="I99" s="375" t="n"/>
      <c r="J99" s="378" t="n"/>
      <c r="K99" s="379" t="n"/>
      <c r="L99" s="379" t="n"/>
    </row>
    <row r="100">
      <c r="B100" s="366" t="inlineStr">
        <is>
          <t>X. MISCELLANEOUS</t>
        </is>
      </c>
      <c r="C100" s="367" t="n"/>
      <c r="D100" s="368" t="n"/>
      <c r="E100" s="369" t="n"/>
      <c r="F100" s="369" t="n"/>
      <c r="G100" s="370" t="n"/>
      <c r="H100" s="369" t="n"/>
      <c r="I100" s="369" t="n"/>
      <c r="J100" s="371" t="n"/>
      <c r="K100" s="371" t="n"/>
      <c r="L100" s="372" t="n"/>
    </row>
    <row r="101">
      <c r="B101" s="373" t="n"/>
      <c r="C101" s="374" t="n"/>
      <c r="D101" s="375" t="n"/>
      <c r="E101" s="376" t="n"/>
      <c r="F101" s="377" t="n"/>
      <c r="G101" s="376" t="n"/>
      <c r="H101" s="376" t="n"/>
      <c r="I101" s="375" t="n"/>
      <c r="J101" s="378" t="n"/>
      <c r="K101" s="379" t="n"/>
      <c r="L101" s="379" t="n"/>
    </row>
    <row r="102">
      <c r="B102" s="373" t="n"/>
      <c r="C102" s="374" t="n"/>
      <c r="D102" s="375" t="n"/>
      <c r="E102" s="376" t="n"/>
      <c r="F102" s="377" t="n"/>
      <c r="G102" s="376" t="n"/>
      <c r="H102" s="376" t="n"/>
      <c r="I102" s="375" t="n"/>
      <c r="J102" s="378" t="n"/>
      <c r="K102" s="379" t="n"/>
      <c r="L102" s="379" t="n"/>
    </row>
    <row r="103">
      <c r="B103" s="373" t="n"/>
      <c r="C103" s="374" t="n"/>
      <c r="D103" s="375" t="n"/>
      <c r="E103" s="376" t="n"/>
      <c r="F103" s="377" t="n"/>
      <c r="G103" s="376" t="n"/>
      <c r="H103" s="376" t="n"/>
      <c r="I103" s="375" t="n"/>
      <c r="J103" s="378" t="n"/>
      <c r="K103" s="379" t="n"/>
      <c r="L103" s="379" t="n"/>
    </row>
    <row r="104">
      <c r="B104" s="373" t="n"/>
      <c r="C104" s="374" t="n"/>
      <c r="D104" s="375" t="n"/>
      <c r="E104" s="376" t="n"/>
      <c r="F104" s="377" t="n"/>
      <c r="G104" s="376" t="n"/>
      <c r="H104" s="376" t="n"/>
      <c r="I104" s="375" t="n"/>
      <c r="J104" s="378" t="n"/>
      <c r="K104" s="379" t="n"/>
      <c r="L104" s="379" t="n"/>
    </row>
    <row r="105">
      <c r="B105" s="373" t="n"/>
      <c r="C105" s="374" t="n"/>
      <c r="D105" s="375" t="n"/>
      <c r="E105" s="376" t="n"/>
      <c r="F105" s="377" t="n"/>
      <c r="G105" s="376" t="n"/>
      <c r="H105" s="376" t="n"/>
      <c r="I105" s="375" t="n"/>
      <c r="J105" s="378" t="n"/>
      <c r="K105" s="379" t="n"/>
      <c r="L105" s="379" t="n"/>
    </row>
  </sheetData>
  <autoFilter ref="B15:L105"/>
  <mergeCells count="3">
    <mergeCell ref="G13:H13"/>
    <mergeCell ref="L2:L13"/>
    <mergeCell ref="B2:F13"/>
  </mergeCells>
  <pageMargins left="0.25" right="0.25" top="0.75" bottom="0.75" header="0.3" footer="0.3"/>
  <pageSetup orientation="landscape" paperSize="8" scale="10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126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140625" customWidth="1" min="1" max="1"/>
    <col width="63.5703125" customWidth="1" min="2" max="2"/>
    <col width="11.28515625" customWidth="1" min="3" max="3"/>
    <col width="7.5703125" customWidth="1" min="4" max="4"/>
    <col width="13.85546875" customWidth="1" min="5" max="5"/>
    <col width="13" customWidth="1" min="6" max="6"/>
    <col hidden="1" width="36.85546875" customWidth="1" min="7" max="7"/>
    <col width="17.42578125" customWidth="1" min="8" max="8"/>
    <col width="18.28515625" customWidth="1" min="9" max="9"/>
    <col width="12.28515625" customWidth="1" min="10" max="10"/>
    <col width="12.140625" customWidth="1" min="11" max="11"/>
    <col width="20.85546875" customWidth="1" min="12" max="12"/>
    <col width="22.5703125" customWidth="1" min="13" max="13"/>
    <col width="26.7109375" customWidth="1" min="14" max="14"/>
    <col width="23.5703125" customWidth="1" min="15" max="15"/>
    <col width="10.28515625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7.25" customHeight="1">
      <c r="A2" s="2" t="inlineStr">
        <is>
          <t>PRICE COMPARISON - DRYDOCKING AL-IDRISI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61" t="inlineStr">
        <is>
          <t>Rev. #</t>
        </is>
      </c>
      <c r="N2" s="301" t="inlineStr">
        <is>
          <t>Name</t>
        </is>
      </c>
      <c r="O2" s="302" t="inlineStr">
        <is>
          <t>Date</t>
        </is>
      </c>
      <c r="P2" s="1" t="n"/>
    </row>
    <row r="3">
      <c r="A3" s="8" t="inlineStr">
        <is>
          <t xml:space="preserve">1 &lt;CUR&gt; = </t>
        </is>
      </c>
      <c r="B3" s="9" t="n"/>
      <c r="C3" s="10" t="inlineStr">
        <is>
          <t>Wisselkoers &lt;date&gt;</t>
        </is>
      </c>
      <c r="D3" s="10" t="n"/>
      <c r="E3" s="10" t="n"/>
      <c r="F3" s="10" t="n"/>
      <c r="G3" s="1" t="n"/>
      <c r="H3" s="1" t="n"/>
      <c r="I3" s="1" t="n"/>
      <c r="J3" s="1" t="n"/>
      <c r="K3" s="1" t="n"/>
      <c r="L3" s="1" t="n"/>
      <c r="M3" s="12">
        <f>IFERROR(LOOKUP(2,1/('SOW initial'!$G$3:$G$12&lt;&gt;""),'SOW initial'!$G$3:$G$12),"")</f>
        <v/>
      </c>
      <c r="N3" s="13">
        <f>IFERROR(LOOKUP(2,1/('SOW initial'!$H$3:$H$12&lt;&gt;""),'SOW initial'!$H$3:$H$12),"")</f>
        <v/>
      </c>
      <c r="O3" s="14">
        <f>IFERROR(LOOKUP(2,1/('SOW initial'!$I$3:$I$12&lt;&gt;""),'SOW initial'!$I$3:$I$12),"")</f>
        <v/>
      </c>
      <c r="P3" s="1" t="n"/>
    </row>
    <row r="4">
      <c r="A4" s="8" t="inlineStr">
        <is>
          <t>1 USD =</t>
        </is>
      </c>
      <c r="B4" s="15" t="n"/>
      <c r="C4" s="16" t="n"/>
      <c r="D4" s="16" t="n"/>
      <c r="E4" s="1" t="n"/>
      <c r="F4" s="1" t="n"/>
      <c r="G4" s="1" t="n"/>
      <c r="H4" s="1" t="n"/>
      <c r="I4" s="1" t="n"/>
      <c r="J4" s="1" t="n"/>
      <c r="K4" s="1" t="n"/>
      <c r="L4" s="1" t="n"/>
      <c r="M4" s="18" t="inlineStr">
        <is>
          <t>Last change</t>
        </is>
      </c>
      <c r="N4" s="19" t="n"/>
      <c r="O4" s="20">
        <f>LastChange</f>
        <v/>
      </c>
      <c r="P4" s="1" t="n"/>
    </row>
    <row r="5" ht="13.5" customHeight="1">
      <c r="A5" s="8" t="inlineStr">
        <is>
          <t>1 USD =</t>
        </is>
      </c>
      <c r="B5" s="21" t="n"/>
      <c r="C5" s="21" t="n"/>
      <c r="D5" s="2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5.75" customHeight="1">
      <c r="A6" s="23" t="n"/>
      <c r="B6" s="24" t="n"/>
      <c r="C6" s="25" t="n"/>
      <c r="D6" s="26" t="n"/>
      <c r="E6" s="27" t="inlineStr">
        <is>
          <t>Yard 1</t>
        </is>
      </c>
      <c r="F6" s="28" t="n"/>
      <c r="G6" s="29" t="inlineStr">
        <is>
          <t>Draft Invoice</t>
        </is>
      </c>
      <c r="H6" s="29" t="inlineStr">
        <is>
          <t>Draft Invoice</t>
        </is>
      </c>
      <c r="I6" s="381" t="inlineStr">
        <is>
          <t>Agreed</t>
        </is>
      </c>
      <c r="J6" s="35" t="inlineStr">
        <is>
          <t>Not agreed</t>
        </is>
      </c>
      <c r="K6" s="34" t="inlineStr">
        <is>
          <t>Discussion</t>
        </is>
      </c>
      <c r="L6" s="36" t="inlineStr">
        <is>
          <t>Obtained reduction</t>
        </is>
      </c>
      <c r="M6" s="37" t="inlineStr">
        <is>
          <t>Final Invoice</t>
        </is>
      </c>
      <c r="N6" s="37" t="inlineStr">
        <is>
          <t>Remarks</t>
        </is>
      </c>
      <c r="O6" s="37" t="inlineStr">
        <is>
          <t>Cost Code</t>
        </is>
      </c>
      <c r="P6" s="1" t="n"/>
    </row>
    <row r="7" ht="13.5" customHeight="1">
      <c r="A7" s="38" t="inlineStr">
        <is>
          <t>Par.</t>
        </is>
      </c>
      <c r="B7" s="39" t="inlineStr">
        <is>
          <t>Description</t>
        </is>
      </c>
      <c r="C7" s="39" t="inlineStr">
        <is>
          <t>Units</t>
        </is>
      </c>
      <c r="D7" s="40" t="inlineStr">
        <is>
          <t>Qty.</t>
        </is>
      </c>
      <c r="E7" s="41" t="inlineStr">
        <is>
          <t>USD/unit</t>
        </is>
      </c>
      <c r="F7" s="42" t="inlineStr">
        <is>
          <t>USD</t>
        </is>
      </c>
      <c r="G7" s="42" t="n"/>
      <c r="H7" s="42" t="n"/>
      <c r="I7" s="46" t="inlineStr">
        <is>
          <t>USD</t>
        </is>
      </c>
      <c r="J7" s="48" t="inlineStr">
        <is>
          <t>USD</t>
        </is>
      </c>
      <c r="K7" s="47" t="inlineStr">
        <is>
          <t>USD</t>
        </is>
      </c>
      <c r="L7" s="49" t="inlineStr">
        <is>
          <t>USD</t>
        </is>
      </c>
      <c r="M7" s="50" t="inlineStr">
        <is>
          <t>USD</t>
        </is>
      </c>
      <c r="N7" s="1" t="n"/>
      <c r="O7" s="1" t="n"/>
      <c r="P7" s="1" t="n"/>
    </row>
    <row r="8">
      <c r="A8" s="51" t="n"/>
      <c r="B8" s="52" t="n"/>
      <c r="C8" s="53" t="n"/>
      <c r="D8" s="54" t="n"/>
      <c r="E8" s="55" t="n"/>
      <c r="F8" s="56">
        <f>D8*E8</f>
        <v/>
      </c>
      <c r="G8" s="56" t="n"/>
      <c r="H8" s="56" t="n"/>
      <c r="I8" s="382" t="n"/>
      <c r="J8" s="62" t="n"/>
      <c r="K8" s="61" t="n"/>
      <c r="L8" s="63" t="n"/>
      <c r="M8" s="56" t="n"/>
      <c r="N8" s="1" t="n"/>
      <c r="O8" s="64" t="n"/>
      <c r="P8" s="1" t="n"/>
    </row>
    <row r="9">
      <c r="A9" s="51" t="n"/>
      <c r="B9" s="52" t="n"/>
      <c r="C9" s="53" t="n"/>
      <c r="D9" s="54" t="n"/>
      <c r="E9" s="55" t="n"/>
      <c r="F9" s="56">
        <f>D9*E9</f>
        <v/>
      </c>
      <c r="G9" s="56" t="n"/>
      <c r="H9" s="56" t="n"/>
      <c r="I9" s="382" t="n"/>
      <c r="J9" s="62" t="n"/>
      <c r="K9" s="61" t="n"/>
      <c r="L9" s="63" t="n"/>
      <c r="M9" s="56" t="n"/>
      <c r="N9" s="1" t="n"/>
      <c r="O9" s="64" t="n"/>
      <c r="P9" s="1" t="n"/>
    </row>
    <row r="10">
      <c r="A10" s="51" t="n"/>
      <c r="B10" s="52" t="n"/>
      <c r="C10" s="53" t="n"/>
      <c r="D10" s="54" t="n"/>
      <c r="E10" s="55" t="n"/>
      <c r="F10" s="56">
        <f>D10*E10</f>
        <v/>
      </c>
      <c r="G10" s="56" t="n"/>
      <c r="H10" s="56" t="n"/>
      <c r="I10" s="382" t="n"/>
      <c r="J10" s="62" t="n"/>
      <c r="K10" s="61" t="n"/>
      <c r="L10" s="63" t="n"/>
      <c r="M10" s="56" t="n"/>
      <c r="N10" s="1" t="n"/>
      <c r="O10" s="64" t="n"/>
      <c r="P10" s="1" t="n"/>
    </row>
    <row r="11">
      <c r="A11" s="51" t="n"/>
      <c r="B11" s="52" t="n"/>
      <c r="C11" s="53" t="n"/>
      <c r="D11" s="54" t="n"/>
      <c r="E11" s="55" t="n"/>
      <c r="F11" s="56">
        <f>D11*E11</f>
        <v/>
      </c>
      <c r="G11" s="56" t="n"/>
      <c r="H11" s="56" t="n"/>
      <c r="I11" s="382" t="n"/>
      <c r="J11" s="62" t="n"/>
      <c r="K11" s="61" t="n"/>
      <c r="L11" s="63" t="n"/>
      <c r="M11" s="56" t="n"/>
      <c r="N11" s="1" t="n"/>
      <c r="O11" s="64" t="n"/>
      <c r="P11" s="1" t="n"/>
    </row>
    <row r="12">
      <c r="A12" s="51" t="n"/>
      <c r="B12" s="52" t="n"/>
      <c r="C12" s="53" t="n"/>
      <c r="D12" s="54" t="n"/>
      <c r="E12" s="55" t="n"/>
      <c r="F12" s="56">
        <f>D12*E12</f>
        <v/>
      </c>
      <c r="G12" s="56" t="n"/>
      <c r="H12" s="56" t="n"/>
      <c r="I12" s="382" t="n"/>
      <c r="J12" s="62" t="n"/>
      <c r="K12" s="61" t="n"/>
      <c r="L12" s="63" t="n"/>
      <c r="M12" s="56" t="n"/>
      <c r="N12" s="1" t="n"/>
      <c r="O12" s="64" t="n"/>
      <c r="P12" s="1" t="n"/>
    </row>
    <row r="13">
      <c r="A13" s="16" t="n"/>
      <c r="B13" s="383" t="inlineStr">
        <is>
          <t>Subtotal Pilotage, mooring and unmooring</t>
        </is>
      </c>
      <c r="C13" s="384" t="n"/>
      <c r="D13" s="384" t="n"/>
      <c r="E13" s="67" t="n"/>
      <c r="F13" s="68">
        <f>SUBTOTAL(9,F8:F12)</f>
        <v/>
      </c>
      <c r="G13" s="68">
        <f>SUBTOTAL(9,G8:G12)</f>
        <v/>
      </c>
      <c r="H13" s="68">
        <f>SUBTOTAL(9,H8:H12)</f>
        <v/>
      </c>
      <c r="I13" s="385">
        <f>SUBTOTAL(9,I8:I12)</f>
        <v/>
      </c>
      <c r="J13" s="72">
        <f>SUBTOTAL(9,J8:J12)</f>
        <v/>
      </c>
      <c r="K13" s="73">
        <f>SUBTOTAL(9,K8:K12)</f>
        <v/>
      </c>
      <c r="L13" s="72">
        <f>SUBTOTAL(9,L8:L12)</f>
        <v/>
      </c>
      <c r="M13" s="386">
        <f>SUBTOTAL(9,M8:M12)</f>
        <v/>
      </c>
      <c r="N13" s="1" t="n"/>
      <c r="O13" s="1" t="n"/>
      <c r="P13" s="1" t="n"/>
    </row>
    <row r="14">
      <c r="A14" s="51" t="n"/>
      <c r="B14" s="52" t="n"/>
      <c r="C14" s="53" t="n"/>
      <c r="D14" s="54" t="n"/>
      <c r="E14" s="55" t="n"/>
      <c r="F14" s="56">
        <f>D14*E14</f>
        <v/>
      </c>
      <c r="G14" s="56" t="n"/>
      <c r="H14" s="56" t="n"/>
      <c r="I14" s="382" t="n"/>
      <c r="J14" s="62" t="n"/>
      <c r="K14" s="61" t="n"/>
      <c r="L14" s="63" t="n"/>
      <c r="M14" s="56" t="n"/>
      <c r="N14" s="1" t="n"/>
      <c r="O14" s="64" t="n"/>
      <c r="P14" s="1" t="n"/>
    </row>
    <row r="15">
      <c r="A15" s="51" t="n"/>
      <c r="B15" s="52" t="n"/>
      <c r="C15" s="53" t="n"/>
      <c r="D15" s="54" t="n"/>
      <c r="E15" s="55" t="n"/>
      <c r="F15" s="56">
        <f>D15*E15</f>
        <v/>
      </c>
      <c r="G15" s="56" t="n"/>
      <c r="H15" s="56" t="n"/>
      <c r="I15" s="382" t="n"/>
      <c r="J15" s="62" t="n"/>
      <c r="K15" s="61" t="n"/>
      <c r="L15" s="63" t="n"/>
      <c r="M15" s="56" t="n"/>
      <c r="N15" s="1" t="n"/>
      <c r="O15" s="64" t="n"/>
      <c r="P15" s="1" t="n"/>
    </row>
    <row r="16">
      <c r="A16" s="51" t="n"/>
      <c r="B16" s="52" t="n"/>
      <c r="C16" s="53" t="n"/>
      <c r="D16" s="54" t="n"/>
      <c r="E16" s="55" t="n"/>
      <c r="F16" s="56">
        <f>D16*E16</f>
        <v/>
      </c>
      <c r="G16" s="56" t="n"/>
      <c r="H16" s="56" t="n"/>
      <c r="I16" s="382" t="n"/>
      <c r="J16" s="62" t="n"/>
      <c r="K16" s="61" t="n"/>
      <c r="L16" s="63" t="n"/>
      <c r="M16" s="56" t="n"/>
      <c r="N16" s="1" t="n"/>
      <c r="O16" s="64" t="n"/>
      <c r="P16" s="1" t="n"/>
    </row>
    <row r="17">
      <c r="A17" s="51" t="n"/>
      <c r="B17" s="52" t="n"/>
      <c r="C17" s="53" t="n"/>
      <c r="D17" s="54" t="n"/>
      <c r="E17" s="55" t="n"/>
      <c r="F17" s="56">
        <f>D17*E17</f>
        <v/>
      </c>
      <c r="G17" s="56" t="n"/>
      <c r="H17" s="56" t="n"/>
      <c r="I17" s="382" t="n"/>
      <c r="J17" s="62" t="n"/>
      <c r="K17" s="61" t="n"/>
      <c r="L17" s="63" t="n"/>
      <c r="M17" s="56" t="n"/>
      <c r="N17" s="1" t="n"/>
      <c r="O17" s="64" t="n"/>
      <c r="P17" s="1" t="n"/>
    </row>
    <row r="18">
      <c r="A18" s="51" t="n"/>
      <c r="B18" s="52" t="n"/>
      <c r="C18" s="53" t="n"/>
      <c r="D18" s="54" t="n"/>
      <c r="E18" s="55" t="n"/>
      <c r="F18" s="56">
        <f>D18*E18</f>
        <v/>
      </c>
      <c r="G18" s="56" t="n"/>
      <c r="H18" s="56" t="n"/>
      <c r="I18" s="382" t="n"/>
      <c r="J18" s="62" t="n"/>
      <c r="K18" s="61" t="n"/>
      <c r="L18" s="63" t="n"/>
      <c r="M18" s="56" t="n"/>
      <c r="N18" s="1" t="n"/>
      <c r="O18" s="64" t="n"/>
      <c r="P18" s="1" t="n"/>
    </row>
    <row r="19">
      <c r="A19" s="16" t="n"/>
      <c r="B19" s="383" t="inlineStr">
        <is>
          <t>Subtotal Drydocking</t>
        </is>
      </c>
      <c r="C19" s="384" t="n"/>
      <c r="D19" s="384" t="n"/>
      <c r="E19" s="67" t="n"/>
      <c r="F19" s="68">
        <f>SUBTOTAL(9,F14:F18)</f>
        <v/>
      </c>
      <c r="G19" s="68">
        <f>SUBTOTAL(9,G14:G18)</f>
        <v/>
      </c>
      <c r="H19" s="68">
        <f>SUBTOTAL(9,H14:H18)</f>
        <v/>
      </c>
      <c r="I19" s="385">
        <f>SUBTOTAL(9,I14:I18)</f>
        <v/>
      </c>
      <c r="J19" s="72">
        <f>SUBTOTAL(9,J14:J18)</f>
        <v/>
      </c>
      <c r="K19" s="73">
        <f>SUBTOTAL(9,K14:K18)</f>
        <v/>
      </c>
      <c r="L19" s="72">
        <f>SUBTOTAL(9,L14:L18)</f>
        <v/>
      </c>
      <c r="M19" s="386">
        <f>SUBTOTAL(9,M14:M18)</f>
        <v/>
      </c>
      <c r="N19" s="1" t="n"/>
      <c r="O19" s="1" t="n"/>
      <c r="P19" s="1" t="n"/>
    </row>
    <row r="20">
      <c r="A20" s="51" t="n"/>
      <c r="B20" s="52" t="n"/>
      <c r="C20" s="53" t="n"/>
      <c r="D20" s="54" t="n"/>
      <c r="E20" s="55" t="n"/>
      <c r="F20" s="56">
        <f>D20*E20</f>
        <v/>
      </c>
      <c r="G20" s="56" t="n"/>
      <c r="H20" s="56" t="n"/>
      <c r="I20" s="382" t="n"/>
      <c r="J20" s="62" t="n"/>
      <c r="K20" s="61" t="n"/>
      <c r="L20" s="63" t="n"/>
      <c r="M20" s="56" t="n"/>
      <c r="N20" s="1" t="n"/>
      <c r="O20" s="64" t="n"/>
      <c r="P20" s="1" t="n"/>
    </row>
    <row r="21">
      <c r="A21" s="51" t="n"/>
      <c r="B21" s="52" t="n"/>
      <c r="C21" s="53" t="n"/>
      <c r="D21" s="54" t="n"/>
      <c r="E21" s="55" t="n"/>
      <c r="F21" s="56">
        <f>D21*E21</f>
        <v/>
      </c>
      <c r="G21" s="56" t="n"/>
      <c r="H21" s="56" t="n"/>
      <c r="I21" s="382" t="n"/>
      <c r="J21" s="62" t="n"/>
      <c r="K21" s="61" t="n"/>
      <c r="L21" s="63" t="n"/>
      <c r="M21" s="56" t="n"/>
      <c r="N21" s="1" t="n"/>
      <c r="O21" s="64" t="n"/>
      <c r="P21" s="1" t="n"/>
    </row>
    <row r="22">
      <c r="A22" s="51" t="n"/>
      <c r="B22" s="52" t="n"/>
      <c r="C22" s="53" t="n"/>
      <c r="D22" s="54" t="n"/>
      <c r="E22" s="55" t="n"/>
      <c r="F22" s="56">
        <f>D22*E22</f>
        <v/>
      </c>
      <c r="G22" s="56" t="n"/>
      <c r="H22" s="56" t="n"/>
      <c r="I22" s="382" t="n"/>
      <c r="J22" s="62" t="n"/>
      <c r="K22" s="61" t="n"/>
      <c r="L22" s="63" t="n"/>
      <c r="M22" s="56" t="n"/>
      <c r="N22" s="1" t="n"/>
      <c r="O22" s="64" t="n"/>
      <c r="P22" s="1" t="n"/>
    </row>
    <row r="23">
      <c r="A23" s="51" t="n"/>
      <c r="B23" s="52" t="n"/>
      <c r="C23" s="53" t="n"/>
      <c r="D23" s="54" t="n"/>
      <c r="E23" s="55" t="n"/>
      <c r="F23" s="56">
        <f>D23*E23</f>
        <v/>
      </c>
      <c r="G23" s="56" t="n"/>
      <c r="H23" s="56" t="n"/>
      <c r="I23" s="382" t="n"/>
      <c r="J23" s="62" t="n"/>
      <c r="K23" s="61" t="n"/>
      <c r="L23" s="63" t="n"/>
      <c r="M23" s="56" t="n"/>
      <c r="N23" s="1" t="n"/>
      <c r="O23" s="64" t="n"/>
      <c r="P23" s="1" t="n"/>
    </row>
    <row r="24">
      <c r="A24" s="51" t="n"/>
      <c r="B24" s="52" t="n"/>
      <c r="C24" s="53" t="n"/>
      <c r="D24" s="54" t="n"/>
      <c r="E24" s="55" t="n"/>
      <c r="F24" s="56">
        <f>D24*E24</f>
        <v/>
      </c>
      <c r="G24" s="56" t="n"/>
      <c r="H24" s="56" t="n"/>
      <c r="I24" s="382" t="n"/>
      <c r="J24" s="62" t="n"/>
      <c r="K24" s="61" t="n"/>
      <c r="L24" s="63" t="n"/>
      <c r="M24" s="56" t="n"/>
      <c r="N24" s="1" t="n"/>
      <c r="O24" s="64" t="n"/>
      <c r="P24" s="1" t="n"/>
    </row>
    <row r="25">
      <c r="A25" s="16" t="n"/>
      <c r="B25" s="383" t="inlineStr">
        <is>
          <t>Subtotal Services</t>
        </is>
      </c>
      <c r="C25" s="384" t="n"/>
      <c r="D25" s="384" t="n"/>
      <c r="E25" s="67" t="n"/>
      <c r="F25" s="68">
        <f>SUBTOTAL(9,F20:F24)</f>
        <v/>
      </c>
      <c r="G25" s="68">
        <f>SUBTOTAL(9,G20:G24)</f>
        <v/>
      </c>
      <c r="H25" s="68">
        <f>SUBTOTAL(9,H20:H24)</f>
        <v/>
      </c>
      <c r="I25" s="385">
        <f>SUBTOTAL(9,I20:I24)</f>
        <v/>
      </c>
      <c r="J25" s="72">
        <f>SUBTOTAL(9,J20:J24)</f>
        <v/>
      </c>
      <c r="K25" s="73">
        <f>SUBTOTAL(9,K20:K24)</f>
        <v/>
      </c>
      <c r="L25" s="72">
        <f>SUBTOTAL(9,L20:L24)</f>
        <v/>
      </c>
      <c r="M25" s="386">
        <f>SUBTOTAL(9,M20:M24)</f>
        <v/>
      </c>
      <c r="N25" s="1" t="n"/>
      <c r="O25" s="1" t="n"/>
      <c r="P25" s="1" t="n"/>
    </row>
    <row r="26">
      <c r="A26" s="51" t="n"/>
      <c r="B26" s="52" t="n"/>
      <c r="C26" s="53" t="n"/>
      <c r="D26" s="54" t="n"/>
      <c r="E26" s="55" t="n"/>
      <c r="F26" s="56">
        <f>D26*E26</f>
        <v/>
      </c>
      <c r="G26" s="56" t="n"/>
      <c r="H26" s="56" t="n"/>
      <c r="I26" s="382" t="n"/>
      <c r="J26" s="62" t="n"/>
      <c r="K26" s="61" t="n"/>
      <c r="L26" s="63" t="n"/>
      <c r="M26" s="56" t="n"/>
      <c r="N26" s="1" t="n"/>
      <c r="O26" s="64" t="n"/>
      <c r="P26" s="1" t="n"/>
    </row>
    <row r="27">
      <c r="A27" s="51" t="n"/>
      <c r="B27" s="52" t="n"/>
      <c r="C27" s="53" t="n"/>
      <c r="D27" s="54" t="n"/>
      <c r="E27" s="55" t="n"/>
      <c r="F27" s="56">
        <f>D27*E27</f>
        <v/>
      </c>
      <c r="G27" s="56" t="n"/>
      <c r="H27" s="56" t="n"/>
      <c r="I27" s="382" t="n"/>
      <c r="J27" s="62" t="n"/>
      <c r="K27" s="61" t="n"/>
      <c r="L27" s="63" t="n"/>
      <c r="M27" s="56" t="n"/>
      <c r="N27" s="1" t="n"/>
      <c r="O27" s="64" t="n"/>
      <c r="P27" s="1" t="n"/>
    </row>
    <row r="28">
      <c r="A28" s="51" t="n"/>
      <c r="B28" s="52" t="n"/>
      <c r="C28" s="53" t="n"/>
      <c r="D28" s="54" t="n"/>
      <c r="E28" s="55" t="n"/>
      <c r="F28" s="56">
        <f>D28*E28</f>
        <v/>
      </c>
      <c r="G28" s="56" t="n"/>
      <c r="H28" s="56" t="n"/>
      <c r="I28" s="382" t="n"/>
      <c r="J28" s="62" t="n"/>
      <c r="K28" s="61" t="n"/>
      <c r="L28" s="63" t="n"/>
      <c r="M28" s="56" t="n"/>
      <c r="N28" s="1" t="n"/>
      <c r="O28" s="64" t="n"/>
      <c r="P28" s="1" t="n"/>
    </row>
    <row r="29">
      <c r="A29" s="51" t="n"/>
      <c r="B29" s="52" t="n"/>
      <c r="C29" s="53" t="n"/>
      <c r="D29" s="54" t="n"/>
      <c r="E29" s="55" t="n"/>
      <c r="F29" s="56">
        <f>D29*E29</f>
        <v/>
      </c>
      <c r="G29" s="56" t="n"/>
      <c r="H29" s="56" t="n"/>
      <c r="I29" s="382" t="n"/>
      <c r="J29" s="62" t="n"/>
      <c r="K29" s="61" t="n"/>
      <c r="L29" s="63" t="n"/>
      <c r="M29" s="56" t="n"/>
      <c r="N29" s="1" t="n"/>
      <c r="O29" s="64" t="n"/>
      <c r="P29" s="1" t="n"/>
    </row>
    <row r="30">
      <c r="A30" s="51" t="n"/>
      <c r="B30" s="52" t="n"/>
      <c r="C30" s="53" t="n"/>
      <c r="D30" s="54" t="n"/>
      <c r="E30" s="55" t="n"/>
      <c r="F30" s="56">
        <f>D30*E30</f>
        <v/>
      </c>
      <c r="G30" s="56" t="n"/>
      <c r="H30" s="56" t="n"/>
      <c r="I30" s="382" t="n"/>
      <c r="J30" s="62" t="n"/>
      <c r="K30" s="61" t="n"/>
      <c r="L30" s="63" t="n"/>
      <c r="M30" s="56" t="n"/>
      <c r="N30" s="1" t="n"/>
      <c r="O30" s="64" t="n"/>
      <c r="P30" s="1" t="n"/>
    </row>
    <row r="31">
      <c r="A31" s="16" t="n"/>
      <c r="B31" s="383" t="inlineStr">
        <is>
          <t>Subtotal General</t>
        </is>
      </c>
      <c r="C31" s="384" t="n"/>
      <c r="D31" s="384" t="n"/>
      <c r="E31" s="67" t="n"/>
      <c r="F31" s="68">
        <f>SUBTOTAL(9,F26:F30)</f>
        <v/>
      </c>
      <c r="G31" s="68">
        <f>SUBTOTAL(9,G26:G30)</f>
        <v/>
      </c>
      <c r="H31" s="68">
        <f>SUBTOTAL(9,H26:H30)</f>
        <v/>
      </c>
      <c r="I31" s="385">
        <f>SUBTOTAL(9,I26:I30)</f>
        <v/>
      </c>
      <c r="J31" s="72">
        <f>SUBTOTAL(9,J26:J30)</f>
        <v/>
      </c>
      <c r="K31" s="73">
        <f>SUBTOTAL(9,K26:K30)</f>
        <v/>
      </c>
      <c r="L31" s="72">
        <f>SUBTOTAL(9,L26:L30)</f>
        <v/>
      </c>
      <c r="M31" s="386">
        <f>SUBTOTAL(9,M26:M30)</f>
        <v/>
      </c>
      <c r="N31" s="1" t="n"/>
      <c r="O31" s="1" t="n"/>
      <c r="P31" s="1" t="n"/>
    </row>
    <row r="32">
      <c r="A32" s="51" t="n"/>
      <c r="B32" s="52" t="n"/>
      <c r="C32" s="53" t="n"/>
      <c r="D32" s="54" t="n"/>
      <c r="E32" s="55" t="n"/>
      <c r="F32" s="56">
        <f>D32*E32</f>
        <v/>
      </c>
      <c r="G32" s="56" t="n"/>
      <c r="H32" s="56" t="n"/>
      <c r="I32" s="382" t="n"/>
      <c r="J32" s="62" t="n"/>
      <c r="K32" s="61" t="n"/>
      <c r="L32" s="63" t="n"/>
      <c r="M32" s="56" t="n"/>
      <c r="N32" s="1" t="n"/>
      <c r="O32" s="64" t="n"/>
      <c r="P32" s="1" t="n"/>
    </row>
    <row r="33">
      <c r="A33" s="51" t="n"/>
      <c r="B33" s="52" t="n"/>
      <c r="C33" s="53" t="n"/>
      <c r="D33" s="54" t="n"/>
      <c r="E33" s="55" t="n"/>
      <c r="F33" s="56">
        <f>D33*E33</f>
        <v/>
      </c>
      <c r="G33" s="56" t="n"/>
      <c r="H33" s="56" t="n"/>
      <c r="I33" s="382" t="n"/>
      <c r="J33" s="62" t="n"/>
      <c r="K33" s="61" t="n"/>
      <c r="L33" s="63" t="n"/>
      <c r="M33" s="56" t="n"/>
      <c r="N33" s="1" t="n"/>
      <c r="O33" s="64" t="n"/>
      <c r="P33" s="1" t="n"/>
    </row>
    <row r="34">
      <c r="A34" s="51" t="n"/>
      <c r="B34" s="52" t="n"/>
      <c r="C34" s="53" t="n"/>
      <c r="D34" s="54" t="n"/>
      <c r="E34" s="55" t="n"/>
      <c r="F34" s="56">
        <f>D34*E34</f>
        <v/>
      </c>
      <c r="G34" s="56" t="n"/>
      <c r="H34" s="56" t="n"/>
      <c r="I34" s="382" t="n"/>
      <c r="J34" s="62" t="n"/>
      <c r="K34" s="61" t="n"/>
      <c r="L34" s="63" t="n"/>
      <c r="M34" s="56" t="n"/>
      <c r="N34" s="1" t="n"/>
      <c r="O34" s="64" t="n"/>
      <c r="P34" s="1" t="n"/>
    </row>
    <row r="35">
      <c r="A35" s="51" t="n"/>
      <c r="B35" s="52" t="n"/>
      <c r="C35" s="53" t="n"/>
      <c r="D35" s="54" t="n"/>
      <c r="E35" s="55" t="n"/>
      <c r="F35" s="56">
        <f>D35*E35</f>
        <v/>
      </c>
      <c r="G35" s="56" t="n"/>
      <c r="H35" s="56" t="n"/>
      <c r="I35" s="382" t="n"/>
      <c r="J35" s="62" t="n"/>
      <c r="K35" s="61" t="n"/>
      <c r="L35" s="63" t="n"/>
      <c r="M35" s="56" t="n"/>
      <c r="N35" s="1" t="n"/>
      <c r="O35" s="64" t="n"/>
      <c r="P35" s="1" t="n"/>
    </row>
    <row r="36">
      <c r="A36" s="51" t="n"/>
      <c r="B36" s="52" t="n"/>
      <c r="C36" s="53" t="n"/>
      <c r="D36" s="54" t="n"/>
      <c r="E36" s="55" t="n"/>
      <c r="F36" s="56">
        <f>D36*E36</f>
        <v/>
      </c>
      <c r="G36" s="56" t="n"/>
      <c r="H36" s="56" t="n"/>
      <c r="I36" s="382" t="n"/>
      <c r="J36" s="62" t="n"/>
      <c r="K36" s="61" t="n"/>
      <c r="L36" s="63" t="n"/>
      <c r="M36" s="56" t="n"/>
      <c r="N36" s="1" t="n"/>
      <c r="O36" s="64" t="n"/>
      <c r="P36" s="1" t="n"/>
    </row>
    <row r="37">
      <c r="A37" s="16" t="n"/>
      <c r="B37" s="383" t="inlineStr">
        <is>
          <t>Subtotal Surface preparations</t>
        </is>
      </c>
      <c r="C37" s="384" t="n"/>
      <c r="D37" s="384" t="n"/>
      <c r="E37" s="67" t="n"/>
      <c r="F37" s="68">
        <f>SUBTOTAL(9,F32:F36)</f>
        <v/>
      </c>
      <c r="G37" s="68">
        <f>SUBTOTAL(9,G32:G36)</f>
        <v/>
      </c>
      <c r="H37" s="68">
        <f>SUBTOTAL(9,H32:H36)</f>
        <v/>
      </c>
      <c r="I37" s="385">
        <f>SUBTOTAL(9,I32:I36)</f>
        <v/>
      </c>
      <c r="J37" s="72">
        <f>SUBTOTAL(9,J32:J36)</f>
        <v/>
      </c>
      <c r="K37" s="73">
        <f>SUBTOTAL(9,K32:K36)</f>
        <v/>
      </c>
      <c r="L37" s="72">
        <f>SUBTOTAL(9,L32:L36)</f>
        <v/>
      </c>
      <c r="M37" s="386">
        <f>SUBTOTAL(9,M32:M36)</f>
        <v/>
      </c>
      <c r="N37" s="1" t="n"/>
      <c r="O37" s="1" t="n"/>
      <c r="P37" s="1" t="n"/>
    </row>
    <row r="38">
      <c r="A38" s="51" t="n"/>
      <c r="B38" s="52" t="n"/>
      <c r="C38" s="53" t="n"/>
      <c r="D38" s="54" t="n"/>
      <c r="E38" s="55" t="n"/>
      <c r="F38" s="56">
        <f>D38*E38</f>
        <v/>
      </c>
      <c r="G38" s="56" t="n"/>
      <c r="H38" s="56" t="n"/>
      <c r="I38" s="382" t="n"/>
      <c r="J38" s="62" t="n"/>
      <c r="K38" s="61" t="n"/>
      <c r="L38" s="63" t="n"/>
      <c r="M38" s="56" t="n"/>
      <c r="N38" s="1" t="n"/>
      <c r="O38" s="64" t="n"/>
      <c r="P38" s="1" t="n"/>
    </row>
    <row r="39">
      <c r="A39" s="51" t="n"/>
      <c r="B39" s="52" t="n"/>
      <c r="C39" s="53" t="n"/>
      <c r="D39" s="54" t="n"/>
      <c r="E39" s="55" t="n"/>
      <c r="F39" s="56">
        <f>D39*E39</f>
        <v/>
      </c>
      <c r="G39" s="56" t="n"/>
      <c r="H39" s="56" t="n"/>
      <c r="I39" s="382" t="n"/>
      <c r="J39" s="62" t="n"/>
      <c r="K39" s="61" t="n"/>
      <c r="L39" s="63" t="n"/>
      <c r="M39" s="56" t="n"/>
      <c r="N39" s="1" t="n"/>
      <c r="O39" s="64" t="n"/>
      <c r="P39" s="1" t="n"/>
    </row>
    <row r="40">
      <c r="A40" s="51" t="n"/>
      <c r="B40" s="52" t="n"/>
      <c r="C40" s="53" t="n"/>
      <c r="D40" s="54" t="n"/>
      <c r="E40" s="55" t="n"/>
      <c r="F40" s="56">
        <f>D40*E40</f>
        <v/>
      </c>
      <c r="G40" s="56" t="n"/>
      <c r="H40" s="56" t="n"/>
      <c r="I40" s="382" t="n"/>
      <c r="J40" s="62" t="n"/>
      <c r="K40" s="61" t="n"/>
      <c r="L40" s="63" t="n"/>
      <c r="M40" s="56" t="n"/>
      <c r="N40" s="1" t="n"/>
      <c r="O40" s="64" t="n"/>
      <c r="P40" s="1" t="n"/>
    </row>
    <row r="41">
      <c r="A41" s="51" t="n"/>
      <c r="B41" s="52" t="n"/>
      <c r="C41" s="53" t="n"/>
      <c r="D41" s="54" t="n"/>
      <c r="E41" s="55" t="n"/>
      <c r="F41" s="56">
        <f>D41*E41</f>
        <v/>
      </c>
      <c r="G41" s="56" t="n"/>
      <c r="H41" s="56" t="n"/>
      <c r="I41" s="382" t="n"/>
      <c r="J41" s="62" t="n"/>
      <c r="K41" s="61" t="n"/>
      <c r="L41" s="63" t="n"/>
      <c r="M41" s="56" t="n"/>
      <c r="N41" s="1" t="n"/>
      <c r="O41" s="64" t="n"/>
      <c r="P41" s="1" t="n"/>
    </row>
    <row r="42">
      <c r="A42" s="51" t="n"/>
      <c r="B42" s="52" t="n"/>
      <c r="C42" s="53" t="n"/>
      <c r="D42" s="54" t="n"/>
      <c r="E42" s="55" t="n"/>
      <c r="F42" s="56">
        <f>D42*E42</f>
        <v/>
      </c>
      <c r="G42" s="56" t="n"/>
      <c r="H42" s="56" t="n"/>
      <c r="I42" s="382" t="n"/>
      <c r="J42" s="62" t="n"/>
      <c r="K42" s="61" t="n"/>
      <c r="L42" s="63" t="n"/>
      <c r="M42" s="56" t="n"/>
      <c r="N42" s="1" t="n"/>
      <c r="O42" s="64" t="n"/>
      <c r="P42" s="1" t="n"/>
    </row>
    <row r="43">
      <c r="A43" s="16" t="n"/>
      <c r="B43" s="383" t="inlineStr">
        <is>
          <t>Subtotal Paint</t>
        </is>
      </c>
      <c r="C43" s="384" t="n"/>
      <c r="D43" s="384" t="n"/>
      <c r="E43" s="67" t="n"/>
      <c r="F43" s="68">
        <f>SUBTOTAL(9,F38:F42)</f>
        <v/>
      </c>
      <c r="G43" s="68">
        <f>SUBTOTAL(9,G38:G42)</f>
        <v/>
      </c>
      <c r="H43" s="68">
        <f>SUBTOTAL(9,H38:H42)</f>
        <v/>
      </c>
      <c r="I43" s="385">
        <f>SUBTOTAL(9,I38:I42)</f>
        <v/>
      </c>
      <c r="J43" s="72">
        <f>SUBTOTAL(9,J38:J42)</f>
        <v/>
      </c>
      <c r="K43" s="73">
        <f>SUBTOTAL(9,K38:K42)</f>
        <v/>
      </c>
      <c r="L43" s="72">
        <f>SUBTOTAL(9,L38:L42)</f>
        <v/>
      </c>
      <c r="M43" s="386">
        <f>SUBTOTAL(9,M38:M42)</f>
        <v/>
      </c>
      <c r="N43" s="1" t="n"/>
      <c r="O43" s="1" t="n"/>
      <c r="P43" s="1" t="n"/>
    </row>
    <row r="44">
      <c r="A44" s="51" t="n"/>
      <c r="B44" s="52" t="n"/>
      <c r="C44" s="53" t="n"/>
      <c r="D44" s="54" t="n"/>
      <c r="E44" s="55" t="n"/>
      <c r="F44" s="56">
        <f>D44*E44</f>
        <v/>
      </c>
      <c r="G44" s="56" t="n"/>
      <c r="H44" s="56" t="n"/>
      <c r="I44" s="382" t="n"/>
      <c r="J44" s="62" t="n"/>
      <c r="K44" s="61" t="n"/>
      <c r="L44" s="63" t="n"/>
      <c r="M44" s="56" t="n"/>
      <c r="N44" s="1" t="n"/>
      <c r="O44" s="64" t="n"/>
      <c r="P44" s="1" t="n"/>
    </row>
    <row r="45">
      <c r="A45" s="51" t="n"/>
      <c r="B45" s="52" t="n"/>
      <c r="C45" s="53" t="n"/>
      <c r="D45" s="54" t="n"/>
      <c r="E45" s="55" t="n"/>
      <c r="F45" s="56">
        <f>D45*E45</f>
        <v/>
      </c>
      <c r="G45" s="56" t="n"/>
      <c r="H45" s="56" t="n"/>
      <c r="I45" s="382" t="n"/>
      <c r="J45" s="62" t="n"/>
      <c r="K45" s="61" t="n"/>
      <c r="L45" s="63" t="n"/>
      <c r="M45" s="56" t="n"/>
      <c r="N45" s="1" t="n"/>
      <c r="O45" s="64" t="n"/>
      <c r="P45" s="1" t="n"/>
    </row>
    <row r="46">
      <c r="A46" s="51" t="n"/>
      <c r="B46" s="52" t="n"/>
      <c r="C46" s="53" t="n"/>
      <c r="D46" s="54" t="n"/>
      <c r="E46" s="55" t="n"/>
      <c r="F46" s="56">
        <f>D46*E46</f>
        <v/>
      </c>
      <c r="G46" s="56" t="n"/>
      <c r="H46" s="56" t="n"/>
      <c r="I46" s="382" t="n"/>
      <c r="J46" s="62" t="n"/>
      <c r="K46" s="61" t="n"/>
      <c r="L46" s="63" t="n"/>
      <c r="M46" s="56" t="n"/>
      <c r="N46" s="1" t="n"/>
      <c r="O46" s="64" t="n"/>
      <c r="P46" s="1" t="n"/>
    </row>
    <row r="47">
      <c r="A47" s="51" t="n"/>
      <c r="B47" s="52" t="n"/>
      <c r="C47" s="53" t="n"/>
      <c r="D47" s="54" t="n"/>
      <c r="E47" s="55" t="n"/>
      <c r="F47" s="56">
        <f>D47*E47</f>
        <v/>
      </c>
      <c r="G47" s="56" t="n"/>
      <c r="H47" s="56" t="n"/>
      <c r="I47" s="382" t="n"/>
      <c r="J47" s="62" t="n"/>
      <c r="K47" s="61" t="n"/>
      <c r="L47" s="63" t="n"/>
      <c r="M47" s="56" t="n"/>
      <c r="N47" s="1" t="n"/>
      <c r="O47" s="64" t="n"/>
      <c r="P47" s="1" t="n"/>
    </row>
    <row r="48">
      <c r="A48" s="51" t="n"/>
      <c r="B48" s="52" t="n"/>
      <c r="C48" s="53" t="n"/>
      <c r="D48" s="54" t="n"/>
      <c r="E48" s="55" t="n"/>
      <c r="F48" s="56">
        <f>D48*E48</f>
        <v/>
      </c>
      <c r="G48" s="56" t="n"/>
      <c r="H48" s="56" t="n"/>
      <c r="I48" s="382" t="n"/>
      <c r="J48" s="62" t="n"/>
      <c r="K48" s="61" t="n"/>
      <c r="L48" s="63" t="n"/>
      <c r="M48" s="56" t="n"/>
      <c r="N48" s="1" t="n"/>
      <c r="O48" s="64" t="n"/>
      <c r="P48" s="1" t="n"/>
    </row>
    <row r="49">
      <c r="A49" s="16" t="n"/>
      <c r="B49" s="383" t="inlineStr">
        <is>
          <t>Subtotal Steel</t>
        </is>
      </c>
      <c r="C49" s="384" t="n"/>
      <c r="D49" s="384" t="n"/>
      <c r="E49" s="67" t="n"/>
      <c r="F49" s="68">
        <f>SUBTOTAL(9,F44:F48)</f>
        <v/>
      </c>
      <c r="G49" s="68">
        <f>SUBTOTAL(9,G44:G48)</f>
        <v/>
      </c>
      <c r="H49" s="68">
        <f>SUBTOTAL(9,H44:H48)</f>
        <v/>
      </c>
      <c r="I49" s="385">
        <f>SUBTOTAL(9,I44:I48)</f>
        <v/>
      </c>
      <c r="J49" s="72">
        <f>SUBTOTAL(9,J44:J48)</f>
        <v/>
      </c>
      <c r="K49" s="73">
        <f>SUBTOTAL(9,K44:K48)</f>
        <v/>
      </c>
      <c r="L49" s="72">
        <f>SUBTOTAL(9,L44:L48)</f>
        <v/>
      </c>
      <c r="M49" s="386">
        <f>SUBTOTAL(9,M44:M48)</f>
        <v/>
      </c>
      <c r="N49" s="1" t="n"/>
      <c r="O49" s="1" t="n"/>
      <c r="P49" s="1" t="n"/>
    </row>
    <row r="50">
      <c r="A50" s="51" t="n"/>
      <c r="B50" s="52" t="n"/>
      <c r="C50" s="53" t="n"/>
      <c r="D50" s="54" t="n"/>
      <c r="E50" s="55" t="n"/>
      <c r="F50" s="56">
        <f>D50*E50</f>
        <v/>
      </c>
      <c r="G50" s="56" t="n"/>
      <c r="H50" s="56" t="n"/>
      <c r="I50" s="382" t="n"/>
      <c r="J50" s="62" t="n"/>
      <c r="K50" s="61" t="n"/>
      <c r="L50" s="63" t="n"/>
      <c r="M50" s="56" t="n"/>
      <c r="N50" s="1" t="n"/>
      <c r="O50" s="64" t="n"/>
      <c r="P50" s="1" t="n"/>
    </row>
    <row r="51">
      <c r="A51" s="51" t="n"/>
      <c r="B51" s="52" t="n"/>
      <c r="C51" s="53" t="n"/>
      <c r="D51" s="54" t="n"/>
      <c r="E51" s="55" t="n"/>
      <c r="F51" s="56">
        <f>D51*E51</f>
        <v/>
      </c>
      <c r="G51" s="56" t="n"/>
      <c r="H51" s="56" t="n"/>
      <c r="I51" s="382" t="n"/>
      <c r="J51" s="62" t="n"/>
      <c r="K51" s="61" t="n"/>
      <c r="L51" s="63" t="n"/>
      <c r="M51" s="56" t="n"/>
      <c r="N51" s="1" t="n"/>
      <c r="O51" s="64" t="n"/>
      <c r="P51" s="1" t="n"/>
    </row>
    <row r="52">
      <c r="A52" s="51" t="n"/>
      <c r="B52" s="52" t="n"/>
      <c r="C52" s="53" t="n"/>
      <c r="D52" s="54" t="n"/>
      <c r="E52" s="55" t="n"/>
      <c r="F52" s="56">
        <f>D52*E52</f>
        <v/>
      </c>
      <c r="G52" s="56" t="n"/>
      <c r="H52" s="56" t="n"/>
      <c r="I52" s="382" t="n"/>
      <c r="J52" s="62" t="n"/>
      <c r="K52" s="61" t="n"/>
      <c r="L52" s="63" t="n"/>
      <c r="M52" s="56" t="n"/>
      <c r="N52" s="1" t="n"/>
      <c r="O52" s="64" t="n"/>
      <c r="P52" s="1" t="n"/>
    </row>
    <row r="53">
      <c r="A53" s="51" t="n"/>
      <c r="B53" s="52" t="n"/>
      <c r="C53" s="53" t="n"/>
      <c r="D53" s="54" t="n"/>
      <c r="E53" s="55" t="n"/>
      <c r="F53" s="56">
        <f>D53*E53</f>
        <v/>
      </c>
      <c r="G53" s="56" t="n"/>
      <c r="H53" s="56" t="n"/>
      <c r="I53" s="382" t="n"/>
      <c r="J53" s="62" t="n"/>
      <c r="K53" s="61" t="n"/>
      <c r="L53" s="63" t="n"/>
      <c r="M53" s="56" t="n"/>
      <c r="N53" s="1" t="n"/>
      <c r="O53" s="64" t="n"/>
      <c r="P53" s="1" t="n"/>
    </row>
    <row r="54">
      <c r="A54" s="51" t="n"/>
      <c r="B54" s="52" t="n"/>
      <c r="C54" s="53" t="n"/>
      <c r="D54" s="54" t="n"/>
      <c r="E54" s="55" t="n"/>
      <c r="F54" s="56">
        <f>D54*E54</f>
        <v/>
      </c>
      <c r="G54" s="56" t="n"/>
      <c r="H54" s="56" t="n"/>
      <c r="I54" s="382" t="n"/>
      <c r="J54" s="62" t="n"/>
      <c r="K54" s="61" t="n"/>
      <c r="L54" s="63" t="n"/>
      <c r="M54" s="56" t="n"/>
      <c r="N54" s="1" t="n"/>
      <c r="O54" s="64" t="n"/>
      <c r="P54" s="1" t="n"/>
    </row>
    <row r="55">
      <c r="A55" s="16" t="n"/>
      <c r="B55" s="383" t="inlineStr">
        <is>
          <t>Subtotal Tanks</t>
        </is>
      </c>
      <c r="C55" s="384" t="n"/>
      <c r="D55" s="384" t="n"/>
      <c r="E55" s="67" t="n"/>
      <c r="F55" s="68">
        <f>SUBTOTAL(9,F50:F54)</f>
        <v/>
      </c>
      <c r="G55" s="68">
        <f>SUBTOTAL(9,G50:G54)</f>
        <v/>
      </c>
      <c r="H55" s="68">
        <f>SUBTOTAL(9,H50:H54)</f>
        <v/>
      </c>
      <c r="I55" s="385">
        <f>SUBTOTAL(9,I50:I54)</f>
        <v/>
      </c>
      <c r="J55" s="72">
        <f>SUBTOTAL(9,J50:J54)</f>
        <v/>
      </c>
      <c r="K55" s="73">
        <f>SUBTOTAL(9,K50:K54)</f>
        <v/>
      </c>
      <c r="L55" s="72">
        <f>SUBTOTAL(9,L50:L54)</f>
        <v/>
      </c>
      <c r="M55" s="386">
        <f>SUBTOTAL(9,M50:M54)</f>
        <v/>
      </c>
      <c r="N55" s="1" t="n"/>
      <c r="O55" s="1" t="n"/>
      <c r="P55" s="1" t="n"/>
    </row>
    <row r="56">
      <c r="A56" s="51" t="n"/>
      <c r="B56" s="52" t="n"/>
      <c r="C56" s="53" t="n"/>
      <c r="D56" s="54" t="n"/>
      <c r="E56" s="55" t="n"/>
      <c r="F56" s="56">
        <f>D56*E56</f>
        <v/>
      </c>
      <c r="G56" s="56" t="n"/>
      <c r="H56" s="56" t="n"/>
      <c r="I56" s="382" t="n"/>
      <c r="J56" s="62" t="n"/>
      <c r="K56" s="61" t="n"/>
      <c r="L56" s="63" t="n"/>
      <c r="M56" s="56" t="n"/>
      <c r="N56" s="1" t="n"/>
      <c r="O56" s="64" t="n"/>
      <c r="P56" s="1" t="n"/>
    </row>
    <row r="57">
      <c r="A57" s="51" t="n"/>
      <c r="B57" s="52" t="n"/>
      <c r="C57" s="53" t="n"/>
      <c r="D57" s="54" t="n"/>
      <c r="E57" s="55" t="n"/>
      <c r="F57" s="56">
        <f>D57*E57</f>
        <v/>
      </c>
      <c r="G57" s="56" t="n"/>
      <c r="H57" s="56" t="n"/>
      <c r="I57" s="382" t="n"/>
      <c r="J57" s="62" t="n"/>
      <c r="K57" s="61" t="n"/>
      <c r="L57" s="63" t="n"/>
      <c r="M57" s="56" t="n"/>
      <c r="N57" s="1" t="n"/>
      <c r="O57" s="64" t="n"/>
      <c r="P57" s="1" t="n"/>
    </row>
    <row r="58">
      <c r="A58" s="51" t="n"/>
      <c r="B58" s="52" t="n"/>
      <c r="C58" s="53" t="n"/>
      <c r="D58" s="54" t="n"/>
      <c r="E58" s="55" t="n"/>
      <c r="F58" s="56">
        <f>D58*E58</f>
        <v/>
      </c>
      <c r="G58" s="56" t="n"/>
      <c r="H58" s="56" t="n"/>
      <c r="I58" s="382" t="n"/>
      <c r="J58" s="62" t="n"/>
      <c r="K58" s="61" t="n"/>
      <c r="L58" s="63" t="n"/>
      <c r="M58" s="56" t="n"/>
      <c r="N58" s="1" t="n"/>
      <c r="O58" s="64" t="n"/>
      <c r="P58" s="1" t="n"/>
    </row>
    <row r="59">
      <c r="A59" s="51" t="n"/>
      <c r="B59" s="52" t="n"/>
      <c r="C59" s="53" t="n"/>
      <c r="D59" s="54" t="n"/>
      <c r="E59" s="55" t="n"/>
      <c r="F59" s="56">
        <f>D59*E59</f>
        <v/>
      </c>
      <c r="G59" s="56" t="n"/>
      <c r="H59" s="56" t="n"/>
      <c r="I59" s="382" t="n"/>
      <c r="J59" s="62" t="n"/>
      <c r="K59" s="61" t="n"/>
      <c r="L59" s="63" t="n"/>
      <c r="M59" s="56" t="n"/>
      <c r="N59" s="1" t="n"/>
      <c r="O59" s="64" t="n"/>
      <c r="P59" s="1" t="n"/>
    </row>
    <row r="60">
      <c r="A60" s="51" t="n"/>
      <c r="B60" s="52" t="n"/>
      <c r="C60" s="53" t="n"/>
      <c r="D60" s="54" t="n"/>
      <c r="E60" s="55" t="n"/>
      <c r="F60" s="56">
        <f>D60*E60</f>
        <v/>
      </c>
      <c r="G60" s="56" t="n"/>
      <c r="H60" s="56" t="n"/>
      <c r="I60" s="382" t="n"/>
      <c r="J60" s="62" t="n"/>
      <c r="K60" s="61" t="n"/>
      <c r="L60" s="63" t="n"/>
      <c r="M60" s="56" t="n"/>
      <c r="N60" s="1" t="n"/>
      <c r="O60" s="64" t="n"/>
      <c r="P60" s="1" t="n"/>
    </row>
    <row r="61">
      <c r="A61" s="16" t="n"/>
      <c r="B61" s="383" t="inlineStr">
        <is>
          <t>Subtotal Seawater lines</t>
        </is>
      </c>
      <c r="C61" s="384" t="n"/>
      <c r="D61" s="384" t="n"/>
      <c r="E61" s="67" t="n"/>
      <c r="F61" s="68">
        <f>SUBTOTAL(9,F56:F60)</f>
        <v/>
      </c>
      <c r="G61" s="68">
        <f>SUBTOTAL(9,G56:G60)</f>
        <v/>
      </c>
      <c r="H61" s="68">
        <f>SUBTOTAL(9,H56:H60)</f>
        <v/>
      </c>
      <c r="I61" s="385">
        <f>SUBTOTAL(9,I56:I60)</f>
        <v/>
      </c>
      <c r="J61" s="72">
        <f>SUBTOTAL(9,J56:J60)</f>
        <v/>
      </c>
      <c r="K61" s="73">
        <f>SUBTOTAL(9,K56:K60)</f>
        <v/>
      </c>
      <c r="L61" s="72">
        <f>SUBTOTAL(9,L56:L60)</f>
        <v/>
      </c>
      <c r="M61" s="386">
        <f>SUBTOTAL(9,M56:M60)</f>
        <v/>
      </c>
      <c r="N61" s="1" t="n"/>
      <c r="O61" s="1" t="n"/>
      <c r="P61" s="1" t="n"/>
    </row>
    <row r="62">
      <c r="A62" s="51" t="n"/>
      <c r="B62" s="52" t="n"/>
      <c r="C62" s="53" t="n"/>
      <c r="D62" s="54" t="n"/>
      <c r="E62" s="55" t="n"/>
      <c r="F62" s="56">
        <f>D62*E62</f>
        <v/>
      </c>
      <c r="G62" s="56" t="n"/>
      <c r="H62" s="56" t="n"/>
      <c r="I62" s="382" t="n"/>
      <c r="J62" s="62" t="n"/>
      <c r="K62" s="61" t="n"/>
      <c r="L62" s="63" t="n"/>
      <c r="M62" s="56" t="n"/>
      <c r="N62" s="1" t="n"/>
      <c r="O62" s="64" t="n"/>
      <c r="P62" s="1" t="n"/>
    </row>
    <row r="63">
      <c r="A63" s="51" t="n"/>
      <c r="B63" s="52" t="n"/>
      <c r="C63" s="53" t="n"/>
      <c r="D63" s="54" t="n"/>
      <c r="E63" s="55" t="n"/>
      <c r="F63" s="56">
        <f>D63*E63</f>
        <v/>
      </c>
      <c r="G63" s="56" t="n"/>
      <c r="H63" s="56" t="n"/>
      <c r="I63" s="382" t="n"/>
      <c r="J63" s="62" t="n"/>
      <c r="K63" s="61" t="n"/>
      <c r="L63" s="63" t="n"/>
      <c r="M63" s="56" t="n"/>
      <c r="N63" s="1" t="n"/>
      <c r="O63" s="64" t="n"/>
      <c r="P63" s="1" t="n"/>
    </row>
    <row r="64">
      <c r="A64" s="51" t="n"/>
      <c r="B64" s="52" t="n"/>
      <c r="C64" s="53" t="n"/>
      <c r="D64" s="54" t="n"/>
      <c r="E64" s="55" t="n"/>
      <c r="F64" s="56">
        <f>D64*E64</f>
        <v/>
      </c>
      <c r="G64" s="56" t="n"/>
      <c r="H64" s="56" t="n"/>
      <c r="I64" s="382" t="n"/>
      <c r="J64" s="62" t="n"/>
      <c r="K64" s="61" t="n"/>
      <c r="L64" s="63" t="n"/>
      <c r="M64" s="56" t="n"/>
      <c r="N64" s="1" t="n"/>
      <c r="O64" s="64" t="n"/>
      <c r="P64" s="1" t="n"/>
    </row>
    <row r="65">
      <c r="A65" s="51" t="n"/>
      <c r="B65" s="52" t="n"/>
      <c r="C65" s="53" t="n"/>
      <c r="D65" s="54" t="n"/>
      <c r="E65" s="55" t="n"/>
      <c r="F65" s="56">
        <f>D65*E65</f>
        <v/>
      </c>
      <c r="G65" s="56" t="n"/>
      <c r="H65" s="56" t="n"/>
      <c r="I65" s="382" t="n"/>
      <c r="J65" s="62" t="n"/>
      <c r="K65" s="61" t="n"/>
      <c r="L65" s="63" t="n"/>
      <c r="M65" s="56" t="n"/>
      <c r="N65" s="1" t="n"/>
      <c r="O65" s="64" t="n"/>
      <c r="P65" s="1" t="n"/>
    </row>
    <row r="66">
      <c r="A66" s="51" t="n"/>
      <c r="B66" s="52" t="n"/>
      <c r="C66" s="53" t="n"/>
      <c r="D66" s="54" t="n"/>
      <c r="E66" s="55" t="n"/>
      <c r="F66" s="56">
        <f>D66*E66</f>
        <v/>
      </c>
      <c r="G66" s="56" t="n"/>
      <c r="H66" s="56" t="n"/>
      <c r="I66" s="382" t="n"/>
      <c r="J66" s="62" t="n"/>
      <c r="K66" s="61" t="n"/>
      <c r="L66" s="63" t="n"/>
      <c r="M66" s="56" t="n"/>
      <c r="N66" s="1" t="n"/>
      <c r="O66" s="64" t="n"/>
      <c r="P66" s="1" t="n"/>
    </row>
    <row r="67">
      <c r="A67" s="16" t="n"/>
      <c r="B67" s="383" t="inlineStr">
        <is>
          <t>Subtotal Hopper</t>
        </is>
      </c>
      <c r="C67" s="384" t="n"/>
      <c r="D67" s="384" t="n"/>
      <c r="E67" s="67" t="n"/>
      <c r="F67" s="68">
        <f>SUBTOTAL(9,F62:F66)</f>
        <v/>
      </c>
      <c r="G67" s="68">
        <f>SUBTOTAL(9,G62:G66)</f>
        <v/>
      </c>
      <c r="H67" s="68">
        <f>SUBTOTAL(9,H62:H66)</f>
        <v/>
      </c>
      <c r="I67" s="385">
        <f>SUBTOTAL(9,I62:I66)</f>
        <v/>
      </c>
      <c r="J67" s="72">
        <f>SUBTOTAL(9,J62:J66)</f>
        <v/>
      </c>
      <c r="K67" s="73">
        <f>SUBTOTAL(9,K62:K66)</f>
        <v/>
      </c>
      <c r="L67" s="72">
        <f>SUBTOTAL(9,L62:L66)</f>
        <v/>
      </c>
      <c r="M67" s="386">
        <f>SUBTOTAL(9,M62:M66)</f>
        <v/>
      </c>
      <c r="N67" s="1" t="n"/>
      <c r="O67" s="1" t="n"/>
      <c r="P67" s="1" t="n"/>
    </row>
    <row r="68">
      <c r="A68" s="51" t="n"/>
      <c r="B68" s="52" t="n"/>
      <c r="C68" s="53" t="n"/>
      <c r="D68" s="54" t="n"/>
      <c r="E68" s="55" t="n"/>
      <c r="F68" s="56">
        <f>D68*E68</f>
        <v/>
      </c>
      <c r="G68" s="56" t="n"/>
      <c r="H68" s="56" t="n"/>
      <c r="I68" s="382" t="n"/>
      <c r="J68" s="62" t="n"/>
      <c r="K68" s="61" t="n"/>
      <c r="L68" s="63" t="n"/>
      <c r="M68" s="56" t="n"/>
      <c r="N68" s="1" t="n"/>
      <c r="O68" s="64" t="n"/>
      <c r="P68" s="1" t="n"/>
    </row>
    <row r="69">
      <c r="A69" s="51" t="n"/>
      <c r="B69" s="52" t="n"/>
      <c r="C69" s="53" t="n"/>
      <c r="D69" s="54" t="n"/>
      <c r="E69" s="55" t="n"/>
      <c r="F69" s="56">
        <f>D69*E69</f>
        <v/>
      </c>
      <c r="G69" s="56" t="n"/>
      <c r="H69" s="56" t="n"/>
      <c r="I69" s="382" t="n"/>
      <c r="J69" s="62" t="n"/>
      <c r="K69" s="61" t="n"/>
      <c r="L69" s="63" t="n"/>
      <c r="M69" s="56" t="n"/>
      <c r="N69" s="1" t="n"/>
      <c r="O69" s="64" t="n"/>
      <c r="P69" s="1" t="n"/>
    </row>
    <row r="70">
      <c r="A70" s="51" t="n"/>
      <c r="B70" s="52" t="n"/>
      <c r="C70" s="53" t="n"/>
      <c r="D70" s="54" t="n"/>
      <c r="E70" s="55" t="n"/>
      <c r="F70" s="56">
        <f>D70*E70</f>
        <v/>
      </c>
      <c r="G70" s="56" t="n"/>
      <c r="H70" s="56" t="n"/>
      <c r="I70" s="382" t="n"/>
      <c r="J70" s="62" t="n"/>
      <c r="K70" s="61" t="n"/>
      <c r="L70" s="63" t="n"/>
      <c r="M70" s="56" t="n"/>
      <c r="N70" s="1" t="n"/>
      <c r="O70" s="64" t="n"/>
      <c r="P70" s="1" t="n"/>
    </row>
    <row r="71">
      <c r="A71" s="51" t="n"/>
      <c r="B71" s="52" t="n"/>
      <c r="C71" s="53" t="n"/>
      <c r="D71" s="54" t="n"/>
      <c r="E71" s="55" t="n"/>
      <c r="F71" s="56">
        <f>D71*E71</f>
        <v/>
      </c>
      <c r="G71" s="56" t="n"/>
      <c r="H71" s="56" t="n"/>
      <c r="I71" s="382" t="n"/>
      <c r="J71" s="62" t="n"/>
      <c r="K71" s="61" t="n"/>
      <c r="L71" s="63" t="n"/>
      <c r="M71" s="56" t="n"/>
      <c r="N71" s="1" t="n"/>
      <c r="O71" s="64" t="n"/>
      <c r="P71" s="1" t="n"/>
    </row>
    <row r="72">
      <c r="A72" s="51" t="n"/>
      <c r="B72" s="52" t="n"/>
      <c r="C72" s="53" t="n"/>
      <c r="D72" s="54" t="n"/>
      <c r="E72" s="55" t="n"/>
      <c r="F72" s="56">
        <f>D72*E72</f>
        <v/>
      </c>
      <c r="G72" s="56" t="n"/>
      <c r="H72" s="56" t="n"/>
      <c r="I72" s="382" t="n"/>
      <c r="J72" s="62" t="n"/>
      <c r="K72" s="61" t="n"/>
      <c r="L72" s="63" t="n"/>
      <c r="M72" s="56" t="n"/>
      <c r="N72" s="1" t="n"/>
      <c r="O72" s="64" t="n"/>
      <c r="P72" s="1" t="n"/>
    </row>
    <row r="73">
      <c r="A73" s="16" t="n"/>
      <c r="B73" s="383" t="inlineStr">
        <is>
          <t>Subtotal Propellers and tailshafts</t>
        </is>
      </c>
      <c r="C73" s="384" t="n"/>
      <c r="D73" s="384" t="n"/>
      <c r="E73" s="67" t="n"/>
      <c r="F73" s="68">
        <f>SUBTOTAL(9,F68:F72)</f>
        <v/>
      </c>
      <c r="G73" s="68">
        <f>SUBTOTAL(9,G68:G72)</f>
        <v/>
      </c>
      <c r="H73" s="68">
        <f>SUBTOTAL(9,H68:H72)</f>
        <v/>
      </c>
      <c r="I73" s="385">
        <f>SUBTOTAL(9,I68:I72)</f>
        <v/>
      </c>
      <c r="J73" s="72">
        <f>SUBTOTAL(9,J68:J72)</f>
        <v/>
      </c>
      <c r="K73" s="73">
        <f>SUBTOTAL(9,K68:K72)</f>
        <v/>
      </c>
      <c r="L73" s="72">
        <f>SUBTOTAL(9,L68:L72)</f>
        <v/>
      </c>
      <c r="M73" s="386">
        <f>SUBTOTAL(9,M68:M72)</f>
        <v/>
      </c>
      <c r="N73" s="1" t="n"/>
      <c r="O73" s="1" t="n"/>
      <c r="P73" s="1" t="n"/>
    </row>
    <row r="74">
      <c r="A74" s="51" t="n"/>
      <c r="B74" s="52" t="n"/>
      <c r="C74" s="53" t="n"/>
      <c r="D74" s="54" t="n"/>
      <c r="E74" s="55" t="n"/>
      <c r="F74" s="56">
        <f>D74*E74</f>
        <v/>
      </c>
      <c r="G74" s="56" t="n"/>
      <c r="H74" s="56" t="n"/>
      <c r="I74" s="382" t="n"/>
      <c r="J74" s="62" t="n"/>
      <c r="K74" s="61" t="n"/>
      <c r="L74" s="63" t="n"/>
      <c r="M74" s="56" t="n"/>
      <c r="N74" s="1" t="n"/>
      <c r="O74" s="64" t="n"/>
      <c r="P74" s="1" t="n"/>
    </row>
    <row r="75">
      <c r="A75" s="51" t="n"/>
      <c r="B75" s="52" t="n"/>
      <c r="C75" s="53" t="n"/>
      <c r="D75" s="54" t="n"/>
      <c r="E75" s="55" t="n"/>
      <c r="F75" s="56">
        <f>D75*E75</f>
        <v/>
      </c>
      <c r="G75" s="56" t="n"/>
      <c r="H75" s="56" t="n"/>
      <c r="I75" s="382" t="n"/>
      <c r="J75" s="62" t="n"/>
      <c r="K75" s="61" t="n"/>
      <c r="L75" s="63" t="n"/>
      <c r="M75" s="56" t="n"/>
      <c r="N75" s="1" t="n"/>
      <c r="O75" s="64" t="n"/>
      <c r="P75" s="1" t="n"/>
    </row>
    <row r="76">
      <c r="A76" s="51" t="n"/>
      <c r="B76" s="52" t="n"/>
      <c r="C76" s="53" t="n"/>
      <c r="D76" s="54" t="n"/>
      <c r="E76" s="55" t="n"/>
      <c r="F76" s="56">
        <f>D76*E76</f>
        <v/>
      </c>
      <c r="G76" s="56" t="n"/>
      <c r="H76" s="56" t="n"/>
      <c r="I76" s="382" t="n"/>
      <c r="J76" s="62" t="n"/>
      <c r="K76" s="61" t="n"/>
      <c r="L76" s="63" t="n"/>
      <c r="M76" s="56" t="n"/>
      <c r="N76" s="1" t="n"/>
      <c r="O76" s="64" t="n"/>
      <c r="P76" s="1" t="n"/>
    </row>
    <row r="77">
      <c r="A77" s="51" t="n"/>
      <c r="B77" s="52" t="n"/>
      <c r="C77" s="53" t="n"/>
      <c r="D77" s="54" t="n"/>
      <c r="E77" s="55" t="n"/>
      <c r="F77" s="56">
        <f>D77*E77</f>
        <v/>
      </c>
      <c r="G77" s="56" t="n"/>
      <c r="H77" s="56" t="n"/>
      <c r="I77" s="382" t="n"/>
      <c r="J77" s="62" t="n"/>
      <c r="K77" s="61" t="n"/>
      <c r="L77" s="63" t="n"/>
      <c r="M77" s="56" t="n"/>
      <c r="N77" s="1" t="n"/>
      <c r="O77" s="64" t="n"/>
      <c r="P77" s="1" t="n"/>
    </row>
    <row r="78">
      <c r="A78" s="51" t="n"/>
      <c r="B78" s="52" t="n"/>
      <c r="C78" s="53" t="n"/>
      <c r="D78" s="54" t="n"/>
      <c r="E78" s="55" t="n"/>
      <c r="F78" s="56">
        <f>D78*E78</f>
        <v/>
      </c>
      <c r="G78" s="56" t="n"/>
      <c r="H78" s="56" t="n"/>
      <c r="I78" s="382" t="n"/>
      <c r="J78" s="62" t="n"/>
      <c r="K78" s="61" t="n"/>
      <c r="L78" s="63" t="n"/>
      <c r="M78" s="56" t="n"/>
      <c r="N78" s="1" t="n"/>
      <c r="O78" s="64" t="n"/>
      <c r="P78" s="1" t="n"/>
    </row>
    <row r="79">
      <c r="A79" s="16" t="n"/>
      <c r="B79" s="383" t="inlineStr">
        <is>
          <t>Subtotal Engines</t>
        </is>
      </c>
      <c r="C79" s="384" t="n"/>
      <c r="D79" s="384" t="n"/>
      <c r="E79" s="67" t="n"/>
      <c r="F79" s="68">
        <f>SUBTOTAL(9,F74:F78)</f>
        <v/>
      </c>
      <c r="G79" s="68">
        <f>SUBTOTAL(9,G74:G78)</f>
        <v/>
      </c>
      <c r="H79" s="68">
        <f>SUBTOTAL(9,H74:H78)</f>
        <v/>
      </c>
      <c r="I79" s="385">
        <f>SUBTOTAL(9,I74:I78)</f>
        <v/>
      </c>
      <c r="J79" s="72">
        <f>SUBTOTAL(9,J74:J78)</f>
        <v/>
      </c>
      <c r="K79" s="73">
        <f>SUBTOTAL(9,K74:K78)</f>
        <v/>
      </c>
      <c r="L79" s="72">
        <f>SUBTOTAL(9,L74:L78)</f>
        <v/>
      </c>
      <c r="M79" s="386">
        <f>SUBTOTAL(9,M74:M78)</f>
        <v/>
      </c>
      <c r="N79" s="1" t="n"/>
      <c r="O79" s="1" t="n"/>
      <c r="P79" s="1" t="n"/>
    </row>
    <row r="80">
      <c r="A80" s="51" t="n"/>
      <c r="B80" s="52" t="n"/>
      <c r="C80" s="53" t="n"/>
      <c r="D80" s="54" t="n"/>
      <c r="E80" s="55" t="n"/>
      <c r="F80" s="56">
        <f>D80*E80</f>
        <v/>
      </c>
      <c r="G80" s="56" t="n"/>
      <c r="H80" s="56" t="n"/>
      <c r="I80" s="382" t="n"/>
      <c r="J80" s="62" t="n"/>
      <c r="K80" s="61" t="n"/>
      <c r="L80" s="63" t="n"/>
      <c r="M80" s="56" t="n"/>
      <c r="N80" s="1" t="n"/>
      <c r="O80" s="64" t="n"/>
      <c r="P80" s="1" t="n"/>
    </row>
    <row r="81">
      <c r="A81" s="51" t="n"/>
      <c r="B81" s="52" t="n"/>
      <c r="C81" s="53" t="n"/>
      <c r="D81" s="54" t="n"/>
      <c r="E81" s="55" t="n"/>
      <c r="F81" s="56">
        <f>D81*E81</f>
        <v/>
      </c>
      <c r="G81" s="56" t="n"/>
      <c r="H81" s="56" t="n"/>
      <c r="I81" s="382" t="n"/>
      <c r="J81" s="62" t="n"/>
      <c r="K81" s="61" t="n"/>
      <c r="L81" s="63" t="n"/>
      <c r="M81" s="56" t="n"/>
      <c r="N81" s="1" t="n"/>
      <c r="O81" s="64" t="n"/>
      <c r="P81" s="1" t="n"/>
    </row>
    <row r="82">
      <c r="A82" s="51" t="n"/>
      <c r="B82" s="52" t="n"/>
      <c r="C82" s="53" t="n"/>
      <c r="D82" s="54" t="n"/>
      <c r="E82" s="55" t="n"/>
      <c r="F82" s="56">
        <f>D82*E82</f>
        <v/>
      </c>
      <c r="G82" s="56" t="n"/>
      <c r="H82" s="56" t="n"/>
      <c r="I82" s="382" t="n"/>
      <c r="J82" s="62" t="n"/>
      <c r="K82" s="61" t="n"/>
      <c r="L82" s="63" t="n"/>
      <c r="M82" s="56" t="n"/>
      <c r="N82" s="1" t="n"/>
      <c r="O82" s="64" t="n"/>
      <c r="P82" s="1" t="n"/>
    </row>
    <row r="83">
      <c r="A83" s="51" t="n"/>
      <c r="B83" s="52" t="n"/>
      <c r="C83" s="53" t="n"/>
      <c r="D83" s="54" t="n"/>
      <c r="E83" s="55" t="n"/>
      <c r="F83" s="56">
        <f>D83*E83</f>
        <v/>
      </c>
      <c r="G83" s="56" t="n"/>
      <c r="H83" s="56" t="n"/>
      <c r="I83" s="382" t="n"/>
      <c r="J83" s="62" t="n"/>
      <c r="K83" s="61" t="n"/>
      <c r="L83" s="63" t="n"/>
      <c r="M83" s="56" t="n"/>
      <c r="N83" s="1" t="n"/>
      <c r="O83" s="64" t="n"/>
      <c r="P83" s="1" t="n"/>
    </row>
    <row r="84">
      <c r="A84" s="51" t="n"/>
      <c r="B84" s="52" t="n"/>
      <c r="C84" s="53" t="n"/>
      <c r="D84" s="54" t="n"/>
      <c r="E84" s="55" t="n"/>
      <c r="F84" s="56">
        <f>D84*E84</f>
        <v/>
      </c>
      <c r="G84" s="56" t="n"/>
      <c r="H84" s="56" t="n"/>
      <c r="I84" s="382" t="n"/>
      <c r="J84" s="62" t="n"/>
      <c r="K84" s="61" t="n"/>
      <c r="L84" s="63" t="n"/>
      <c r="M84" s="56" t="n"/>
      <c r="N84" s="1" t="n"/>
      <c r="O84" s="64" t="n"/>
      <c r="P84" s="1" t="n"/>
    </row>
    <row r="85">
      <c r="A85" s="16" t="n"/>
      <c r="B85" s="383" t="inlineStr">
        <is>
          <t>Subtotal Auxiliaries</t>
        </is>
      </c>
      <c r="C85" s="384" t="n"/>
      <c r="D85" s="384" t="n"/>
      <c r="E85" s="67" t="n"/>
      <c r="F85" s="68">
        <f>SUBTOTAL(9,F80:F84)</f>
        <v/>
      </c>
      <c r="G85" s="68">
        <f>SUBTOTAL(9,G80:G84)</f>
        <v/>
      </c>
      <c r="H85" s="68">
        <f>SUBTOTAL(9,H80:H84)</f>
        <v/>
      </c>
      <c r="I85" s="385">
        <f>SUBTOTAL(9,I80:I84)</f>
        <v/>
      </c>
      <c r="J85" s="72">
        <f>SUBTOTAL(9,J80:J84)</f>
        <v/>
      </c>
      <c r="K85" s="73">
        <f>SUBTOTAL(9,K80:K84)</f>
        <v/>
      </c>
      <c r="L85" s="72">
        <f>SUBTOTAL(9,L80:L84)</f>
        <v/>
      </c>
      <c r="M85" s="386">
        <f>SUBTOTAL(9,M80:M84)</f>
        <v/>
      </c>
      <c r="N85" s="1" t="n"/>
      <c r="O85" s="1" t="n"/>
      <c r="P85" s="1" t="n"/>
    </row>
    <row r="86">
      <c r="A86" s="51" t="n"/>
      <c r="B86" s="52" t="n"/>
      <c r="C86" s="53" t="n"/>
      <c r="D86" s="54" t="n"/>
      <c r="E86" s="55" t="n"/>
      <c r="F86" s="56">
        <f>D86*E86</f>
        <v/>
      </c>
      <c r="G86" s="56" t="n"/>
      <c r="H86" s="56" t="n"/>
      <c r="I86" s="382" t="n"/>
      <c r="J86" s="62" t="n"/>
      <c r="K86" s="61" t="n"/>
      <c r="L86" s="63" t="n"/>
      <c r="M86" s="56" t="n"/>
      <c r="N86" s="1" t="n"/>
      <c r="O86" s="64" t="n"/>
      <c r="P86" s="1" t="n"/>
    </row>
    <row r="87">
      <c r="A87" s="51" t="n"/>
      <c r="B87" s="52" t="n"/>
      <c r="C87" s="53" t="n"/>
      <c r="D87" s="54" t="n"/>
      <c r="E87" s="55" t="n"/>
      <c r="F87" s="56">
        <f>D87*E87</f>
        <v/>
      </c>
      <c r="G87" s="56" t="n"/>
      <c r="H87" s="56" t="n"/>
      <c r="I87" s="382" t="n"/>
      <c r="J87" s="62" t="n"/>
      <c r="K87" s="61" t="n"/>
      <c r="L87" s="63" t="n"/>
      <c r="M87" s="56" t="n"/>
      <c r="N87" s="1" t="n"/>
      <c r="O87" s="64" t="n"/>
      <c r="P87" s="1" t="n"/>
    </row>
    <row r="88">
      <c r="A88" s="51" t="n"/>
      <c r="B88" s="52" t="n"/>
      <c r="C88" s="53" t="n"/>
      <c r="D88" s="54" t="n"/>
      <c r="E88" s="55" t="n"/>
      <c r="F88" s="56">
        <f>D88*E88</f>
        <v/>
      </c>
      <c r="G88" s="56" t="n"/>
      <c r="H88" s="56" t="n"/>
      <c r="I88" s="382" t="n"/>
      <c r="J88" s="62" t="n"/>
      <c r="K88" s="61" t="n"/>
      <c r="L88" s="63" t="n"/>
      <c r="M88" s="56" t="n"/>
      <c r="N88" s="1" t="n"/>
      <c r="O88" s="64" t="n"/>
      <c r="P88" s="1" t="n"/>
    </row>
    <row r="89">
      <c r="A89" s="51" t="n"/>
      <c r="B89" s="52" t="n"/>
      <c r="C89" s="53" t="n"/>
      <c r="D89" s="54" t="n"/>
      <c r="E89" s="55" t="n"/>
      <c r="F89" s="56">
        <f>D89*E89</f>
        <v/>
      </c>
      <c r="G89" s="56" t="n"/>
      <c r="H89" s="56" t="n"/>
      <c r="I89" s="382" t="n"/>
      <c r="J89" s="62" t="n"/>
      <c r="K89" s="61" t="n"/>
      <c r="L89" s="63" t="n"/>
      <c r="M89" s="56" t="n"/>
      <c r="N89" s="1" t="n"/>
      <c r="O89" s="64" t="n"/>
      <c r="P89" s="1" t="n"/>
    </row>
    <row r="90">
      <c r="A90" s="51" t="n"/>
      <c r="B90" s="52" t="n"/>
      <c r="C90" s="53" t="n"/>
      <c r="D90" s="54" t="n"/>
      <c r="E90" s="55" t="n"/>
      <c r="F90" s="56">
        <f>D90*E90</f>
        <v/>
      </c>
      <c r="G90" s="56" t="n"/>
      <c r="H90" s="56" t="n"/>
      <c r="I90" s="382" t="n"/>
      <c r="J90" s="62" t="n"/>
      <c r="K90" s="61" t="n"/>
      <c r="L90" s="63" t="n"/>
      <c r="M90" s="56" t="n"/>
      <c r="N90" s="1" t="n"/>
      <c r="O90" s="64" t="n"/>
      <c r="P90" s="1" t="n"/>
    </row>
    <row r="91">
      <c r="A91" s="16" t="n"/>
      <c r="B91" s="383" t="inlineStr">
        <is>
          <t>Subtotal Anchors and chains</t>
        </is>
      </c>
      <c r="C91" s="384" t="n"/>
      <c r="D91" s="384" t="n"/>
      <c r="E91" s="67" t="n"/>
      <c r="F91" s="68">
        <f>SUBTOTAL(9,F86:F90)</f>
        <v/>
      </c>
      <c r="G91" s="68">
        <f>SUBTOTAL(9,G86:G90)</f>
        <v/>
      </c>
      <c r="H91" s="68">
        <f>SUBTOTAL(9,H86:H90)</f>
        <v/>
      </c>
      <c r="I91" s="385">
        <f>SUBTOTAL(9,I86:I90)</f>
        <v/>
      </c>
      <c r="J91" s="72">
        <f>SUBTOTAL(9,J86:J90)</f>
        <v/>
      </c>
      <c r="K91" s="73">
        <f>SUBTOTAL(9,K86:K90)</f>
        <v/>
      </c>
      <c r="L91" s="72">
        <f>SUBTOTAL(9,L86:L90)</f>
        <v/>
      </c>
      <c r="M91" s="386">
        <f>SUBTOTAL(9,M86:M90)</f>
        <v/>
      </c>
      <c r="N91" s="1" t="n"/>
      <c r="O91" s="1" t="n"/>
      <c r="P91" s="1" t="n"/>
    </row>
    <row r="92">
      <c r="A92" s="51" t="n"/>
      <c r="B92" s="52" t="n"/>
      <c r="C92" s="53" t="n"/>
      <c r="D92" s="54" t="n"/>
      <c r="E92" s="55" t="n"/>
      <c r="F92" s="56">
        <f>D92*E92</f>
        <v/>
      </c>
      <c r="G92" s="56" t="n"/>
      <c r="H92" s="56" t="n"/>
      <c r="I92" s="382" t="n"/>
      <c r="J92" s="62" t="n"/>
      <c r="K92" s="61" t="n"/>
      <c r="L92" s="63" t="n"/>
      <c r="M92" s="56" t="n"/>
      <c r="N92" s="1" t="n"/>
      <c r="O92" s="64" t="n"/>
      <c r="P92" s="1" t="n"/>
    </row>
    <row r="93">
      <c r="A93" s="51" t="n"/>
      <c r="B93" s="52" t="n"/>
      <c r="C93" s="53" t="n"/>
      <c r="D93" s="54" t="n"/>
      <c r="E93" s="55" t="n"/>
      <c r="F93" s="56">
        <f>D93*E93</f>
        <v/>
      </c>
      <c r="G93" s="56" t="n"/>
      <c r="H93" s="56" t="n"/>
      <c r="I93" s="382" t="n"/>
      <c r="J93" s="62" t="n"/>
      <c r="K93" s="61" t="n"/>
      <c r="L93" s="63" t="n"/>
      <c r="M93" s="56" t="n"/>
      <c r="N93" s="1" t="n"/>
      <c r="O93" s="64" t="n"/>
      <c r="P93" s="1" t="n"/>
    </row>
    <row r="94">
      <c r="A94" s="51" t="n"/>
      <c r="B94" s="52" t="n"/>
      <c r="C94" s="53" t="n"/>
      <c r="D94" s="54" t="n"/>
      <c r="E94" s="55" t="n"/>
      <c r="F94" s="56">
        <f>D94*E94</f>
        <v/>
      </c>
      <c r="G94" s="56" t="n"/>
      <c r="H94" s="56" t="n"/>
      <c r="I94" s="382" t="n"/>
      <c r="J94" s="62" t="n"/>
      <c r="K94" s="61" t="n"/>
      <c r="L94" s="63" t="n"/>
      <c r="M94" s="56" t="n"/>
      <c r="N94" s="1" t="n"/>
      <c r="O94" s="64" t="n"/>
      <c r="P94" s="1" t="n"/>
    </row>
    <row r="95">
      <c r="A95" s="51" t="n"/>
      <c r="B95" s="52" t="n"/>
      <c r="C95" s="53" t="n"/>
      <c r="D95" s="54" t="n"/>
      <c r="E95" s="55" t="n"/>
      <c r="F95" s="56">
        <f>D95*E95</f>
        <v/>
      </c>
      <c r="G95" s="56" t="n"/>
      <c r="H95" s="56" t="n"/>
      <c r="I95" s="382" t="n"/>
      <c r="J95" s="62" t="n"/>
      <c r="K95" s="61" t="n"/>
      <c r="L95" s="63" t="n"/>
      <c r="M95" s="56" t="n"/>
      <c r="N95" s="1" t="n"/>
      <c r="O95" s="64" t="n"/>
      <c r="P95" s="1" t="n"/>
    </row>
    <row r="96">
      <c r="A96" s="51" t="n"/>
      <c r="B96" s="52" t="n"/>
      <c r="C96" s="53" t="n"/>
      <c r="D96" s="54" t="n"/>
      <c r="E96" s="55" t="n"/>
      <c r="F96" s="56">
        <f>D96*E96</f>
        <v/>
      </c>
      <c r="G96" s="56" t="n"/>
      <c r="H96" s="56" t="n"/>
      <c r="I96" s="382" t="n"/>
      <c r="J96" s="62" t="n"/>
      <c r="K96" s="61" t="n"/>
      <c r="L96" s="63" t="n"/>
      <c r="M96" s="56" t="n"/>
      <c r="N96" s="1" t="n"/>
      <c r="O96" s="64" t="n"/>
      <c r="P96" s="1" t="n"/>
    </row>
    <row r="97">
      <c r="A97" s="16" t="n"/>
      <c r="B97" s="383" t="inlineStr">
        <is>
          <t>Subtotal Miscellaneous</t>
        </is>
      </c>
      <c r="C97" s="384" t="n"/>
      <c r="D97" s="384" t="n"/>
      <c r="E97" s="67" t="n"/>
      <c r="F97" s="68">
        <f>SUBTOTAL(9,F92:F96)</f>
        <v/>
      </c>
      <c r="G97" s="68">
        <f>SUBTOTAL(9,G92:G96)</f>
        <v/>
      </c>
      <c r="H97" s="68">
        <f>SUBTOTAL(9,H92:H96)</f>
        <v/>
      </c>
      <c r="I97" s="385">
        <f>SUBTOTAL(9,I92:I96)</f>
        <v/>
      </c>
      <c r="J97" s="72">
        <f>SUBTOTAL(9,J92:J96)</f>
        <v/>
      </c>
      <c r="K97" s="73">
        <f>SUBTOTAL(9,K92:K96)</f>
        <v/>
      </c>
      <c r="L97" s="72">
        <f>SUBTOTAL(9,L92:L96)</f>
        <v/>
      </c>
      <c r="M97" s="386">
        <f>SUBTOTAL(9,M92:M96)</f>
        <v/>
      </c>
      <c r="N97" s="1" t="n"/>
      <c r="O97" s="1" t="n"/>
      <c r="P97" s="1" t="n"/>
    </row>
    <row r="98">
      <c r="A98" s="1" t="n"/>
      <c r="B98" s="1" t="n"/>
      <c r="C98" s="1" t="n"/>
      <c r="D98" s="1" t="n"/>
      <c r="E98" s="102" t="n"/>
      <c r="F98" s="387" t="n"/>
      <c r="G98" s="387" t="n"/>
      <c r="H98" s="387" t="n"/>
      <c r="I98" s="388" t="n"/>
      <c r="J98" s="389" t="n"/>
      <c r="K98" s="390" t="n"/>
      <c r="L98" s="391" t="n"/>
      <c r="M98" s="392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74" t="n"/>
      <c r="F99" s="75" t="n"/>
      <c r="G99" s="75" t="n"/>
      <c r="H99" s="75" t="n"/>
      <c r="I99" s="393" t="n"/>
      <c r="J99" s="82" t="n"/>
      <c r="K99" s="81" t="n"/>
      <c r="L99" s="83" t="n"/>
      <c r="M99" s="84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55" t="n"/>
      <c r="F100" s="86" t="n"/>
      <c r="G100" s="86" t="n"/>
      <c r="H100" s="86" t="n"/>
      <c r="I100" s="382" t="n"/>
      <c r="J100" s="62" t="n"/>
      <c r="K100" s="61" t="n"/>
      <c r="L100" s="89" t="n"/>
      <c r="M100" s="90" t="n"/>
      <c r="N100" s="1" t="n"/>
      <c r="O100" s="1" t="n"/>
      <c r="P100" s="1" t="n"/>
      <c r="Q100" s="1" t="n"/>
      <c r="R100" s="1" t="n"/>
    </row>
    <row r="101">
      <c r="A101" s="16" t="n"/>
      <c r="B101" s="1" t="n"/>
      <c r="C101" s="21" t="n"/>
      <c r="D101" s="21" t="n"/>
      <c r="E101" s="55" t="n"/>
      <c r="F101" s="91">
        <f>SUBTOTAL(9,F8:F97)</f>
        <v/>
      </c>
      <c r="G101" s="91">
        <f>SUBTOTAL(9,G8:G97)</f>
        <v/>
      </c>
      <c r="H101" s="91">
        <f>SUBTOTAL(9,H8:H97)</f>
        <v/>
      </c>
      <c r="I101" s="394">
        <f>SUBTOTAL(9,I8:I97)</f>
        <v/>
      </c>
      <c r="J101" s="97">
        <f>SUBTOTAL(9,J8:J97)</f>
        <v/>
      </c>
      <c r="K101" s="96">
        <f>SUBTOTAL(9,K8:K97)</f>
        <v/>
      </c>
      <c r="L101" s="98">
        <f>SUBTOTAL(9,L8:L97)</f>
        <v/>
      </c>
      <c r="M101" s="99">
        <f>SUBTOTAL(9,M8:M97)</f>
        <v/>
      </c>
      <c r="N101" s="88" t="n"/>
      <c r="O101" s="1" t="n"/>
      <c r="P101" s="1" t="n"/>
      <c r="Q101" s="1" t="n"/>
      <c r="R101" s="1" t="n"/>
    </row>
    <row r="102">
      <c r="A102" s="1" t="n"/>
      <c r="B102" s="101" t="inlineStr">
        <is>
          <t>TOTAL WITHOUT DISCOUNT</t>
        </is>
      </c>
      <c r="C102" s="101" t="n"/>
      <c r="D102" s="101" t="n"/>
      <c r="E102" s="102">
        <f>F101*EUR</f>
        <v/>
      </c>
      <c r="F102" s="103" t="n"/>
      <c r="G102" s="103" t="n"/>
      <c r="H102" s="103" t="n"/>
      <c r="I102" s="1" t="n"/>
      <c r="J102" s="1" t="n"/>
      <c r="K102" s="1" t="n"/>
      <c r="L102" s="1" t="n"/>
      <c r="M102" s="395" t="n"/>
      <c r="N102" s="1" t="n"/>
      <c r="O102" s="1" t="n"/>
      <c r="P102" s="1" t="n"/>
      <c r="Q102" s="1" t="n"/>
      <c r="R102" s="1" t="n"/>
    </row>
    <row r="103">
      <c r="A103" s="1" t="n"/>
      <c r="B103" s="101" t="inlineStr">
        <is>
          <t>DISCOUNT</t>
        </is>
      </c>
      <c r="C103" s="101" t="n"/>
      <c r="D103" s="101" t="n"/>
      <c r="E103" s="109" t="n"/>
      <c r="F103" s="91">
        <f>F101*E103</f>
        <v/>
      </c>
      <c r="G103" s="91" t="n"/>
      <c r="H103" s="91">
        <f>H101*G103</f>
        <v/>
      </c>
      <c r="I103" s="1" t="n"/>
      <c r="J103" s="1" t="n"/>
      <c r="K103" s="1" t="n"/>
      <c r="L103" s="112" t="n"/>
      <c r="M103" s="99">
        <f>M101*L103</f>
        <v/>
      </c>
      <c r="N103" s="85" t="n"/>
      <c r="O103" s="113" t="n"/>
      <c r="P103" s="1" t="n"/>
      <c r="Q103" s="1" t="n"/>
      <c r="R103" s="1" t="n"/>
    </row>
    <row r="104" ht="13.5" customHeight="1">
      <c r="A104" s="1" t="n"/>
      <c r="B104" s="1" t="n"/>
      <c r="C104" s="1" t="n"/>
      <c r="D104" s="1" t="n"/>
      <c r="E104" s="114">
        <f>F103*EUR</f>
        <v/>
      </c>
      <c r="F104" s="115" t="n"/>
      <c r="G104" s="115" t="n"/>
      <c r="H104" s="115" t="n"/>
      <c r="I104" s="1" t="n"/>
      <c r="J104" s="1" t="n"/>
      <c r="K104" s="1" t="n"/>
      <c r="L104" s="1" t="n"/>
      <c r="M104" s="396" t="n"/>
      <c r="N104" s="1" t="n"/>
      <c r="O104" s="1" t="n"/>
      <c r="P104" s="1" t="n"/>
      <c r="Q104" s="1" t="n"/>
      <c r="R104" s="1" t="n"/>
    </row>
    <row r="105" ht="13.5" customHeight="1">
      <c r="A105" s="16" t="n"/>
      <c r="B105" s="120" t="inlineStr">
        <is>
          <t>GRAND TOTAL</t>
        </is>
      </c>
      <c r="C105" s="121" t="n"/>
      <c r="D105" s="121" t="n"/>
      <c r="E105" s="122" t="n"/>
      <c r="F105" s="123">
        <f>F101-F103</f>
        <v/>
      </c>
      <c r="G105" s="123" t="n"/>
      <c r="H105" s="123">
        <f>H101-H103</f>
        <v/>
      </c>
      <c r="I105" s="1" t="n"/>
      <c r="J105" s="1" t="n"/>
      <c r="K105" s="1" t="n"/>
      <c r="L105" s="1" t="n"/>
      <c r="M105" s="128">
        <f>M101-M103</f>
        <v/>
      </c>
      <c r="N105" s="397" t="n"/>
      <c r="O105" s="85" t="n"/>
      <c r="P105" s="1" t="n"/>
      <c r="Q105" s="1" t="n"/>
      <c r="R105" s="1" t="n"/>
    </row>
    <row r="106" ht="13.5" customHeight="1">
      <c r="A106" s="16" t="n"/>
      <c r="B106" s="130" t="n"/>
      <c r="C106" s="131" t="n"/>
      <c r="D106" s="131" t="n"/>
      <c r="E106" s="132">
        <f>F105*EUR</f>
        <v/>
      </c>
      <c r="F106" s="133" t="n"/>
      <c r="G106" s="133" t="n"/>
      <c r="H106" s="133" t="n"/>
      <c r="I106" s="1" t="n"/>
      <c r="J106" s="1" t="n"/>
      <c r="K106" s="1" t="n"/>
      <c r="L106" s="52" t="inlineStr">
        <is>
          <t>Already paid</t>
        </is>
      </c>
      <c r="M106" s="128" t="n"/>
      <c r="N106" s="1" t="n"/>
      <c r="O106" s="1" t="n"/>
      <c r="P106" s="1" t="n"/>
      <c r="Q106" s="1" t="n"/>
      <c r="R106" s="1" t="n"/>
    </row>
    <row r="107" ht="13.5" customHeight="1">
      <c r="A107" s="16" t="n"/>
      <c r="B107" s="137" t="inlineStr">
        <is>
          <t>Completion</t>
        </is>
      </c>
      <c r="C107" s="1" t="n"/>
      <c r="D107" s="1" t="n"/>
      <c r="E107" s="138" t="n"/>
      <c r="F107" s="1" t="n"/>
      <c r="G107" s="1" t="n"/>
      <c r="H107" s="1" t="n"/>
      <c r="I107" s="1" t="n"/>
      <c r="J107" s="1" t="n"/>
      <c r="K107" s="1" t="n"/>
      <c r="L107" s="52" t="inlineStr">
        <is>
          <t>Remaining</t>
        </is>
      </c>
      <c r="M107" s="139">
        <f>M105-M106</f>
        <v/>
      </c>
      <c r="N107" s="85" t="n"/>
      <c r="O107" s="85" t="n"/>
      <c r="P107" s="1" t="n"/>
      <c r="Q107" s="1" t="n"/>
      <c r="R107" s="1" t="n"/>
    </row>
    <row r="108">
      <c r="A108" s="16" t="n"/>
      <c r="B108" s="1" t="n"/>
      <c r="C108" s="21" t="n"/>
      <c r="D108" s="2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85" t="n"/>
      <c r="N108" s="85" t="n"/>
      <c r="O108" s="1" t="n"/>
      <c r="P108" s="1" t="n"/>
      <c r="Q108" s="1" t="n"/>
      <c r="R108" s="1" t="n"/>
    </row>
    <row r="109" ht="13.5" customHeight="1">
      <c r="A109" s="16" t="n"/>
      <c r="B109" s="1" t="n"/>
      <c r="C109" s="21" t="n"/>
      <c r="D109" s="2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 ht="16.5" customHeight="1">
      <c r="A110" s="16" t="n"/>
      <c r="B110" s="1" t="n"/>
      <c r="C110" s="21" t="n"/>
      <c r="D110" s="21" t="n"/>
      <c r="E110" s="1" t="n"/>
      <c r="F110" s="1" t="n"/>
      <c r="G110" s="1" t="n"/>
      <c r="H110" s="1" t="n"/>
      <c r="I110" s="140" t="inlineStr">
        <is>
          <t>CODE</t>
        </is>
      </c>
      <c r="J110" s="142" t="inlineStr">
        <is>
          <t>Description</t>
        </is>
      </c>
      <c r="K110" s="141" t="n"/>
      <c r="L110" s="142" t="inlineStr">
        <is>
          <t>Amount</t>
        </is>
      </c>
      <c r="M110" s="143" t="inlineStr">
        <is>
          <t>Amount With discount</t>
        </is>
      </c>
      <c r="N110" s="143" t="n"/>
      <c r="O110" s="1" t="n"/>
      <c r="P110" s="1" t="n"/>
      <c r="Q110" s="1" t="n"/>
      <c r="R110" s="1" t="n"/>
    </row>
    <row r="111" ht="15.75" customHeight="1">
      <c r="A111" s="16" t="n"/>
      <c r="B111" s="1" t="n"/>
      <c r="C111" s="21" t="n"/>
      <c r="D111" s="21" t="n"/>
      <c r="E111" s="1" t="n"/>
      <c r="F111" s="1" t="n"/>
      <c r="G111" s="1" t="n"/>
      <c r="H111" s="1" t="n"/>
      <c r="I111" s="144" t="inlineStr">
        <is>
          <t>0080/8038/400</t>
        </is>
      </c>
      <c r="J111" s="145" t="inlineStr">
        <is>
          <t>O&amp;R Main Drives</t>
        </is>
      </c>
      <c r="K111" s="145" t="n"/>
      <c r="L111" s="146">
        <f>SUMPRODUCT(($O$8:$O$97=I111)*($M$8:$M$97))</f>
        <v/>
      </c>
      <c r="M111" s="147">
        <f>L111*(1-$L$103)</f>
        <v/>
      </c>
      <c r="N111" s="147" t="n"/>
      <c r="O111" s="1" t="n"/>
      <c r="P111" s="1" t="n"/>
      <c r="Q111" s="1" t="n"/>
      <c r="R111" s="1" t="n"/>
    </row>
    <row r="112" ht="15.75" customHeight="1">
      <c r="A112" s="16" t="n"/>
      <c r="B112" s="1" t="n"/>
      <c r="C112" s="21" t="n"/>
      <c r="D112" s="21" t="n"/>
      <c r="E112" s="1" t="n"/>
      <c r="F112" s="1" t="n"/>
      <c r="G112" s="1" t="n"/>
      <c r="H112" s="1" t="n"/>
      <c r="I112" s="144" t="inlineStr">
        <is>
          <t>0080/8038/401</t>
        </is>
      </c>
      <c r="J112" s="145" t="inlineStr">
        <is>
          <t>O&amp;R  Aux Drives</t>
        </is>
      </c>
      <c r="K112" s="145" t="n"/>
      <c r="L112" s="146">
        <f>SUMPRODUCT(($O$8:$O$97=I112)*($M$8:$M$97))</f>
        <v/>
      </c>
      <c r="M112" s="147">
        <f>L112*(1-$L$103)</f>
        <v/>
      </c>
      <c r="N112" s="147" t="n"/>
      <c r="O112" s="1" t="n"/>
      <c r="P112" s="1" t="n"/>
      <c r="Q112" s="1" t="n"/>
      <c r="R112" s="1" t="n"/>
    </row>
    <row r="113" ht="15.75" customHeight="1">
      <c r="A113" s="16" t="n"/>
      <c r="B113" s="1" t="n"/>
      <c r="C113" s="21" t="n"/>
      <c r="D113" s="21" t="n"/>
      <c r="E113" s="1" t="n"/>
      <c r="F113" s="1" t="n"/>
      <c r="G113" s="1" t="n"/>
      <c r="H113" s="1" t="n"/>
      <c r="I113" s="144" t="inlineStr">
        <is>
          <t>0080/8038/402</t>
        </is>
      </c>
      <c r="J113" s="145" t="inlineStr">
        <is>
          <t>O&amp;R Electrical</t>
        </is>
      </c>
      <c r="K113" s="145" t="n"/>
      <c r="L113" s="146">
        <f>SUMPRODUCT(($O$8:$O$97=I113)*($M$8:$M$97))</f>
        <v/>
      </c>
      <c r="M113" s="147">
        <f>L113*(1-$L$103)</f>
        <v/>
      </c>
      <c r="N113" s="147" t="n"/>
      <c r="O113" s="1" t="n"/>
      <c r="P113" s="1" t="n"/>
      <c r="Q113" s="1" t="n"/>
      <c r="R113" s="1" t="n"/>
    </row>
    <row r="114" ht="15.75" customHeight="1">
      <c r="A114" s="16" t="n"/>
      <c r="B114" s="1" t="n"/>
      <c r="C114" s="21" t="n"/>
      <c r="D114" s="21" t="n"/>
      <c r="E114" s="1" t="n"/>
      <c r="F114" s="1" t="n"/>
      <c r="G114" s="1" t="n"/>
      <c r="H114" s="1" t="n"/>
      <c r="I114" s="144" t="inlineStr">
        <is>
          <t>0080/8038/403</t>
        </is>
      </c>
      <c r="J114" s="145" t="inlineStr">
        <is>
          <t>O&amp;R Hydraulic</t>
        </is>
      </c>
      <c r="K114" s="145" t="n"/>
      <c r="L114" s="146">
        <f>SUMPRODUCT(($O$8:$O$97=I114)*($M$8:$M$97))</f>
        <v/>
      </c>
      <c r="M114" s="147">
        <f>L114*(1-$L$103)</f>
        <v/>
      </c>
      <c r="N114" s="147" t="n"/>
      <c r="O114" s="1" t="n"/>
      <c r="P114" s="1" t="n"/>
      <c r="Q114" s="1" t="n"/>
      <c r="R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44" t="inlineStr">
        <is>
          <t>0080/8038/404</t>
        </is>
      </c>
      <c r="J115" s="145" t="inlineStr">
        <is>
          <t>O&amp;R Hoisting Equipment</t>
        </is>
      </c>
      <c r="K115" s="145" t="n"/>
      <c r="L115" s="146">
        <f>SUMPRODUCT(($O$8:$O$97=I115)*($M$8:$M$97))</f>
        <v/>
      </c>
      <c r="M115" s="147">
        <f>L115*(1-$L$103)</f>
        <v/>
      </c>
      <c r="N115" s="147" t="n"/>
      <c r="O115" s="1" t="n"/>
      <c r="P115" s="1" t="n"/>
      <c r="Q115" s="1" t="n"/>
      <c r="R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44" t="inlineStr">
        <is>
          <t>0080/8038/405</t>
        </is>
      </c>
      <c r="J116" s="145" t="inlineStr">
        <is>
          <t>O&amp;R Engine Room</t>
        </is>
      </c>
      <c r="K116" s="145" t="n"/>
      <c r="L116" s="146">
        <f>SUMPRODUCT(($O$8:$O$97=I116)*($M$8:$M$97))</f>
        <v/>
      </c>
      <c r="M116" s="147">
        <f>L116*(1-$L$103)</f>
        <v/>
      </c>
      <c r="N116" s="147" t="n"/>
      <c r="O116" s="1" t="n"/>
      <c r="P116" s="1" t="n"/>
      <c r="Q116" s="1" t="n"/>
      <c r="R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44" t="inlineStr">
        <is>
          <t>0080/8038/406</t>
        </is>
      </c>
      <c r="J117" s="145" t="inlineStr">
        <is>
          <t>O&amp;R Dredging Equipment</t>
        </is>
      </c>
      <c r="K117" s="145" t="n"/>
      <c r="L117" s="146">
        <f>SUMPRODUCT(($O$8:$O$97=I117)*($M$8:$M$97))</f>
        <v/>
      </c>
      <c r="M117" s="147">
        <f>L117*(1-$L$103)</f>
        <v/>
      </c>
      <c r="N117" s="147" t="n"/>
      <c r="O117" s="1" t="n"/>
      <c r="P117" s="1" t="n"/>
      <c r="Q117" s="1" t="n"/>
      <c r="R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44" t="inlineStr">
        <is>
          <t>0080/8038/407</t>
        </is>
      </c>
      <c r="J118" s="145" t="inlineStr">
        <is>
          <t>O&amp;R Hull</t>
        </is>
      </c>
      <c r="K118" s="145" t="n"/>
      <c r="L118" s="146">
        <f>SUMPRODUCT(($O$8:$O$97=I118)*($M$8:$M$97))</f>
        <v/>
      </c>
      <c r="M118" s="147">
        <f>L118*(1-$L$103)</f>
        <v/>
      </c>
      <c r="N118" s="147" t="n"/>
      <c r="O118" s="1" t="n"/>
      <c r="P118" s="1" t="n"/>
      <c r="Q118" s="1" t="n"/>
      <c r="R118" s="1" t="n"/>
    </row>
    <row r="119" ht="15.75" customHeight="1">
      <c r="A119" s="16" t="n"/>
      <c r="B119" s="1" t="n"/>
      <c r="C119" s="21" t="n"/>
      <c r="D119" s="21" t="n"/>
      <c r="E119" s="1" t="n"/>
      <c r="F119" s="1" t="n"/>
      <c r="G119" s="1" t="n"/>
      <c r="H119" s="1" t="n"/>
      <c r="I119" s="144" t="inlineStr">
        <is>
          <t>0080/8038/408</t>
        </is>
      </c>
      <c r="J119" s="145" t="inlineStr">
        <is>
          <t>O&amp;R Hopper</t>
        </is>
      </c>
      <c r="K119" s="145" t="n"/>
      <c r="L119" s="146">
        <f>SUMPRODUCT(($O$8:$O$97=I119)*($M$8:$M$97))</f>
        <v/>
      </c>
      <c r="M119" s="147">
        <f>L119*(1-$L$103)</f>
        <v/>
      </c>
      <c r="N119" s="147" t="n"/>
      <c r="O119" s="1" t="n"/>
      <c r="P119" s="1" t="n"/>
      <c r="Q119" s="1" t="n"/>
      <c r="R119" s="1" t="n"/>
    </row>
    <row r="120" ht="15.75" customHeight="1">
      <c r="A120" s="16" t="n"/>
      <c r="B120" s="1" t="n"/>
      <c r="C120" s="21" t="n"/>
      <c r="D120" s="21" t="n"/>
      <c r="E120" s="1" t="n"/>
      <c r="F120" s="1" t="n"/>
      <c r="G120" s="1" t="n"/>
      <c r="H120" s="1" t="n"/>
      <c r="I120" s="144" t="inlineStr">
        <is>
          <t>0080/8038/411</t>
        </is>
      </c>
      <c r="J120" s="145" t="inlineStr">
        <is>
          <t>O&amp;R General</t>
        </is>
      </c>
      <c r="K120" s="145" t="n"/>
      <c r="L120" s="146">
        <f>SUMPRODUCT(($O$8:$O$97=I120)*($M$8:$M$97))</f>
        <v/>
      </c>
      <c r="M120" s="147">
        <f>L120*(1-$L$103)</f>
        <v/>
      </c>
      <c r="N120" s="147" t="n"/>
      <c r="O120" s="1" t="n"/>
      <c r="P120" s="1" t="n"/>
      <c r="Q120" s="1" t="n"/>
      <c r="R120" s="1" t="n"/>
    </row>
    <row r="121" ht="15.75" customHeight="1">
      <c r="A121" s="16" t="n"/>
      <c r="B121" s="1" t="n"/>
      <c r="C121" s="21" t="n"/>
      <c r="D121" s="21" t="n"/>
      <c r="E121" s="1" t="n"/>
      <c r="F121" s="1" t="n"/>
      <c r="G121" s="1" t="n"/>
      <c r="H121" s="1" t="n"/>
      <c r="I121" s="144" t="inlineStr">
        <is>
          <t>0080/8038/453</t>
        </is>
      </c>
      <c r="J121" s="145" t="inlineStr">
        <is>
          <t>Fuel</t>
        </is>
      </c>
      <c r="K121" s="145" t="n"/>
      <c r="L121" s="146">
        <f>SUMPRODUCT(($O$8:$O$97=I121)*($M$8:$M$97))</f>
        <v/>
      </c>
      <c r="M121" s="147">
        <f>L121*(1-$L$103)</f>
        <v/>
      </c>
      <c r="N121" s="147" t="n"/>
      <c r="O121" s="1" t="n"/>
      <c r="P121" s="1" t="n"/>
      <c r="Q121" s="1" t="n"/>
      <c r="R121" s="1" t="n"/>
    </row>
    <row r="122" ht="15.75" customHeight="1">
      <c r="A122" s="16" t="n"/>
      <c r="B122" s="1" t="n"/>
      <c r="C122" s="21" t="n"/>
      <c r="D122" s="21" t="n"/>
      <c r="E122" s="1" t="n"/>
      <c r="F122" s="1" t="n"/>
      <c r="G122" s="1" t="n"/>
      <c r="H122" s="1" t="n"/>
      <c r="I122" s="144" t="inlineStr">
        <is>
          <t>0080/8038/463</t>
        </is>
      </c>
      <c r="J122" s="145" t="inlineStr">
        <is>
          <t>Fresh Water</t>
        </is>
      </c>
      <c r="K122" s="145" t="n"/>
      <c r="L122" s="146">
        <f>SUMPRODUCT(($O$8:$O$97=I122)*($M$8:$M$97))</f>
        <v/>
      </c>
      <c r="M122" s="147">
        <f>L122*(1-$L$103)</f>
        <v/>
      </c>
      <c r="N122" s="147" t="n"/>
      <c r="O122" s="1" t="n"/>
      <c r="P122" s="1" t="n"/>
      <c r="Q122" s="1" t="n"/>
      <c r="R122" s="1" t="n"/>
    </row>
    <row r="123" ht="15.75" customHeight="1">
      <c r="A123" s="16" t="n"/>
      <c r="B123" s="1" t="n"/>
      <c r="C123" s="21" t="n"/>
      <c r="D123" s="21" t="n"/>
      <c r="E123" s="1" t="n"/>
      <c r="F123" s="1" t="n"/>
      <c r="G123" s="1" t="n"/>
      <c r="H123" s="1" t="n"/>
      <c r="I123" s="144" t="inlineStr">
        <is>
          <t>0080/8038/464</t>
        </is>
      </c>
      <c r="J123" s="145" t="inlineStr">
        <is>
          <t>Waste Disposal</t>
        </is>
      </c>
      <c r="K123" s="145" t="n"/>
      <c r="L123" s="146">
        <f>SUMPRODUCT(($O$8:$O$97=I123)*($M$8:$M$97))</f>
        <v/>
      </c>
      <c r="M123" s="147">
        <f>L123*(1-$L$103)</f>
        <v/>
      </c>
      <c r="N123" s="147" t="n"/>
      <c r="O123" s="1" t="n"/>
      <c r="P123" s="1" t="n"/>
      <c r="Q123" s="1" t="n"/>
      <c r="R123" s="1" t="n"/>
    </row>
    <row r="124" ht="16.5" customHeight="1">
      <c r="A124" s="16" t="n"/>
      <c r="B124" s="1" t="n"/>
      <c r="C124" s="21" t="n"/>
      <c r="D124" s="21" t="n"/>
      <c r="E124" s="1" t="n"/>
      <c r="F124" s="1" t="n"/>
      <c r="G124" s="1" t="n"/>
      <c r="H124" s="1" t="n"/>
      <c r="I124" s="152" t="inlineStr">
        <is>
          <t>Project</t>
        </is>
      </c>
      <c r="J124" s="153" t="inlineStr">
        <is>
          <t>Project Logistics</t>
        </is>
      </c>
      <c r="K124" s="153" t="n"/>
      <c r="L124" s="154">
        <f>SUMPRODUCT(($O$8:$O$97=I124)*($M$8:$M$97))</f>
        <v/>
      </c>
      <c r="M124" s="155">
        <f>L124*(1-$L$103)</f>
        <v/>
      </c>
      <c r="N124" s="155" t="n"/>
      <c r="O124" s="1" t="n"/>
      <c r="P124" s="1" t="n"/>
      <c r="Q124" s="1" t="n"/>
      <c r="R124" s="1" t="n"/>
    </row>
    <row r="125">
      <c r="A125" s="16" t="n"/>
      <c r="B125" s="1" t="n"/>
      <c r="C125" s="21" t="n"/>
      <c r="D125" s="21" t="n"/>
      <c r="E125" s="1" t="n"/>
      <c r="F125" s="1" t="n"/>
      <c r="G125" s="1" t="n"/>
      <c r="H125" s="1" t="n"/>
      <c r="I125" s="1" t="n"/>
      <c r="J125" s="1" t="n"/>
      <c r="K125" s="156" t="n"/>
      <c r="L125" s="156" t="n"/>
      <c r="M125" s="1" t="n"/>
      <c r="N125" s="1" t="n"/>
      <c r="O125" s="1" t="n"/>
      <c r="P125" s="1" t="n"/>
      <c r="Q125" s="1" t="n"/>
      <c r="R125" s="1" t="n"/>
    </row>
    <row r="126" ht="15.75" customHeight="1">
      <c r="A126" s="16" t="n"/>
      <c r="B126" s="1" t="n"/>
      <c r="C126" s="21" t="n"/>
      <c r="D126" s="21" t="n"/>
      <c r="E126" s="1" t="n"/>
      <c r="F126" s="1" t="n"/>
      <c r="G126" s="1" t="n"/>
      <c r="H126" s="1" t="n"/>
      <c r="I126" s="1" t="n"/>
      <c r="J126" s="1" t="n"/>
      <c r="K126" s="157" t="inlineStr">
        <is>
          <t>TOTAL</t>
        </is>
      </c>
      <c r="L126" s="146">
        <f>SUM(L111:L124)</f>
        <v/>
      </c>
      <c r="M126" s="158">
        <f>SUM(M111:M124)</f>
        <v/>
      </c>
      <c r="N126" s="158" t="n"/>
      <c r="O126" s="1" t="n"/>
      <c r="P126" s="1" t="n"/>
      <c r="Q126" s="1" t="n"/>
      <c r="R126" s="1" t="n"/>
    </row>
  </sheetData>
  <mergeCells count="1">
    <mergeCell ref="M4:N4"/>
  </mergeCells>
  <pageMargins left="0.75" right="0.75" top="1" bottom="1" header="0.5" footer="0.5"/>
  <pageSetup orientation="landscape" paperSize="8" scale="71" fitToHeight="0"/>
  <headerFooter>
    <oddHeader/>
    <oddFooter>&amp;L&amp;F&amp;R&amp;P/&amp;N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Psyroukis Konstantinos</dc:creator>
  <dcterms:created xmlns:dcterms="http://purl.org/dc/terms/" xmlns:xsi="http://www.w3.org/2001/XMLSchema-instance" xsi:type="dcterms:W3CDTF">2026-10-13T18:57:16Z</dcterms:created>
  <dcterms:modified xmlns:dcterms="http://purl.org/dc/terms/" xmlns:xsi="http://www.w3.org/2001/XMLSchema-instance" xsi:type="dcterms:W3CDTF">2026-10-13T18:57:16Z</dcterms:modified>
  <cp:lastModifiedBy>Psyroukis Konstantinos</cp:lastModifiedBy>
</cp:coreProperties>
</file>